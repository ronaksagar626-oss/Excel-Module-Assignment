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tion1 - Basics" sheetId="1" state="visible" r:id="rId3"/>
    <sheet name="Section2 - Formatting" sheetId="2" state="visible" r:id="rId4"/>
    <sheet name="Section3 - Sort &amp; Filter" sheetId="3" state="visible" r:id="rId5"/>
    <sheet name="Section4 - Dates" sheetId="4" state="visible" r:id="rId6"/>
    <sheet name="Section5 - Logical" sheetId="5" state="visible" r:id="rId7"/>
    <sheet name="Section6 - Data Cleaning" sheetId="6" state="visible" r:id="rId8"/>
    <sheet name="Section7 - Pivot Table" sheetId="7" state="visible" r:id="rId9"/>
    <sheet name="Section8 - Lookups" sheetId="8" state="visible" r:id="rId10"/>
    <sheet name="Section9 - Cond. Aggregation" sheetId="9" state="visible" r:id="rId11"/>
    <sheet name="Section10 - Cond. Formatting" sheetId="10" state="visible" r:id="rId12"/>
    <sheet name="Section11 - Consolidation" sheetId="11" state="visible" r:id="rId13"/>
    <sheet name="Section12 - VBA Macro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<sst xmlns="http://schemas.openxmlformats.org/spreadsheetml/2006/main" count="1934" uniqueCount="817">
  <si>
    <t xml:space="preserve">📊  SECTION 1: BASICS OF EXCEL — Arithmetic, TRANSPOSE, COUNT, YoY &amp; CAGR</t>
  </si>
  <si>
    <t xml:space="preserve">TASK 1–5: Monthly Sales 2017 — SUM, MAX, MIN, SMALL, LARGE, MEDIAN</t>
  </si>
  <si>
    <t xml:space="preserve">Month</t>
  </si>
  <si>
    <t xml:space="preserve">Sales ($)</t>
  </si>
  <si>
    <t xml:space="preserve">Summary Statistics</t>
  </si>
  <si>
    <t xml:space="preserve">Jan</t>
  </si>
  <si>
    <t xml:space="preserve">Total Sales (SUM)</t>
  </si>
  <si>
    <t xml:space="preserve">Feb</t>
  </si>
  <si>
    <t xml:space="preserve">Highest Month (MAX)</t>
  </si>
  <si>
    <t xml:space="preserve">Mar</t>
  </si>
  <si>
    <t xml:space="preserve">Lowest Month (MIN)</t>
  </si>
  <si>
    <t xml:space="preserve">Apr</t>
  </si>
  <si>
    <t xml:space="preserve">2nd Lowest (SMALL)</t>
  </si>
  <si>
    <t xml:space="preserve">May</t>
  </si>
  <si>
    <t xml:space="preserve">3rd Highest (LARGE)</t>
  </si>
  <si>
    <t xml:space="preserve">Jun</t>
  </si>
  <si>
    <t xml:space="preserve">Median Sales</t>
  </si>
  <si>
    <t xml:space="preserve">Jul</t>
  </si>
  <si>
    <t xml:space="preserve">Average Sales</t>
  </si>
  <si>
    <t xml:space="preserve">Aug</t>
  </si>
  <si>
    <t xml:space="preserve">Count of Months</t>
  </si>
  <si>
    <t xml:space="preserve">Sep</t>
  </si>
  <si>
    <t xml:space="preserve">Oct</t>
  </si>
  <si>
    <t xml:space="preserve">Nov</t>
  </si>
  <si>
    <t xml:space="preserve">Dec</t>
  </si>
  <si>
    <t xml:space="preserve">TASK: TRANSPOSE — Monthly Sales Laid Out Horizontally (Jan→Dec)</t>
  </si>
  <si>
    <t xml:space="preserve">↑ Use =TRANSPOSE(B5:B16) as array formula (Ctrl+Shift+Enter) to auto-populate this row</t>
  </si>
  <si>
    <t xml:space="preserve">TASK: COUNT, COUNTA, COUNTBLANK — Dataset with Intentional Blank Cells</t>
  </si>
  <si>
    <t xml:space="preserve">Product Name</t>
  </si>
  <si>
    <t xml:space="preserve">Category</t>
  </si>
  <si>
    <t xml:space="preserve">COUNT Functions</t>
  </si>
  <si>
    <t xml:space="preserve">Stapler</t>
  </si>
  <si>
    <t xml:space="preserve">Office Supplies</t>
  </si>
  <si>
    <t xml:space="preserve">COUNT (numeric Sales)</t>
  </si>
  <si>
    <t xml:space="preserve">Desk Chair</t>
  </si>
  <si>
    <t xml:space="preserve">COUNTA (non-blank Names)</t>
  </si>
  <si>
    <t xml:space="preserve">Laptop Stand</t>
  </si>
  <si>
    <t xml:space="preserve">Technology</t>
  </si>
  <si>
    <t xml:space="preserve">COUNTBLANK (blank Sales)</t>
  </si>
  <si>
    <t xml:space="preserve">Notebook</t>
  </si>
  <si>
    <t xml:space="preserve">COUNTBLANK (blank Cat.)</t>
  </si>
  <si>
    <t xml:space="preserve">Monitor</t>
  </si>
  <si>
    <t xml:space="preserve">Pen Set</t>
  </si>
  <si>
    <t xml:space="preserve">Whiteboard</t>
  </si>
  <si>
    <t xml:space="preserve">Keyboard</t>
  </si>
  <si>
    <t xml:space="preserve">TASK: YoY Revenue Growth % &amp; CAGR using POWER Formula</t>
  </si>
  <si>
    <t xml:space="preserve">Year</t>
  </si>
  <si>
    <t xml:space="preserve">Annual Sales ($)</t>
  </si>
  <si>
    <t xml:space="preserve">YoY Growth %</t>
  </si>
  <si>
    <t xml:space="preserve">YoY Formula</t>
  </si>
  <si>
    <t xml:space="preserve">— (Base Year)</t>
  </si>
  <si>
    <t xml:space="preserve">No prior year</t>
  </si>
  <si>
    <t xml:space="preserve">CAGR (3 yr) via POWER</t>
  </si>
  <si>
    <t xml:space="preserve">Compound Annual Growth Rate (3 years)</t>
  </si>
  <si>
    <t xml:space="preserve">🎨  SECTION 2: FORMATTING OPTIONS IN EXCEL</t>
  </si>
  <si>
    <t xml:space="preserve">TASK 1–5: Cell Formatting — Currency, Conditional Format, Borders, Font Styles, Colors</t>
  </si>
  <si>
    <t xml:space="preserve">Product</t>
  </si>
  <si>
    <t xml:space="preserve">Region</t>
  </si>
  <si>
    <t xml:space="preserve">Profit ($)</t>
  </si>
  <si>
    <t xml:space="preserve">Qty</t>
  </si>
  <si>
    <t xml:space="preserve">Discount</t>
  </si>
  <si>
    <t xml:space="preserve">Margin %</t>
  </si>
  <si>
    <t xml:space="preserve">Status</t>
  </si>
  <si>
    <t xml:space="preserve">Cisco TelePresence System EX90 Vid…</t>
  </si>
  <si>
    <t xml:space="preserve">South</t>
  </si>
  <si>
    <t xml:space="preserve">⭐ High</t>
  </si>
  <si>
    <t xml:space="preserve">Canon imageCLASS 2200 Advanced Cop…</t>
  </si>
  <si>
    <t xml:space="preserve">Central</t>
  </si>
  <si>
    <t xml:space="preserve">West</t>
  </si>
  <si>
    <t xml:space="preserve">East</t>
  </si>
  <si>
    <t xml:space="preserve">GBC Ibimaster 500 Manual ProClick …</t>
  </si>
  <si>
    <t xml:space="preserve">Ibico EPK-21 Electric Binding Syst…</t>
  </si>
  <si>
    <t xml:space="preserve">3D Systems Cube Printer, 2nd Gener…</t>
  </si>
  <si>
    <t xml:space="preserve">HP Designjet T520 Inkjet Large For…</t>
  </si>
  <si>
    <t xml:space="preserve">High Speed Automatic Electric Lett…</t>
  </si>
  <si>
    <t xml:space="preserve">Lexmark MX611dhe Monochrome Laser …</t>
  </si>
  <si>
    <t xml:space="preserve">Cubify CubeX 3D Printer Triple Hea…</t>
  </si>
  <si>
    <t xml:space="preserve">Fellowes PB500 Electric Punch Plas…</t>
  </si>
  <si>
    <t xml:space="preserve">TASK: Number Formatting — Percentages, Thousands, Scientific, Negatives, Decimals</t>
  </si>
  <si>
    <t xml:space="preserve">Format Type</t>
  </si>
  <si>
    <t xml:space="preserve">Raw Value</t>
  </si>
  <si>
    <t xml:space="preserve">Formatted Result</t>
  </si>
  <si>
    <t xml:space="preserve">Format Code Used</t>
  </si>
  <si>
    <t xml:space="preserve">Explanation</t>
  </si>
  <si>
    <t xml:space="preserve">Standard Currency</t>
  </si>
  <si>
    <t xml:space="preserve">$#,##0.00</t>
  </si>
  <si>
    <t xml:space="preserve">Dollar sign, comma separator, 2 decimals</t>
  </si>
  <si>
    <t xml:space="preserve">Percentage</t>
  </si>
  <si>
    <t xml:space="preserve">0.00%</t>
  </si>
  <si>
    <t xml:space="preserve">Multiply by 100, show 2 decimal places</t>
  </si>
  <si>
    <t xml:space="preserve">Thousands (K)</t>
  </si>
  <si>
    <t xml:space="preserve">#,##0,"K"</t>
  </si>
  <si>
    <t xml:space="preserve">Divide by 1000, append K</t>
  </si>
  <si>
    <t xml:space="preserve">Negative → Red</t>
  </si>
  <si>
    <t xml:space="preserve">$#,##0.00;[Red]-$#,##0.00</t>
  </si>
  <si>
    <t xml:space="preserve">Red colour for negative numbers</t>
  </si>
  <si>
    <t xml:space="preserve">Fixed 2 Decimals</t>
  </si>
  <si>
    <t xml:space="preserve">#,##0.00</t>
  </si>
  <si>
    <t xml:space="preserve">Two decimal places always shown</t>
  </si>
  <si>
    <t xml:space="preserve">Scientific</t>
  </si>
  <si>
    <t xml:space="preserve">0.00E+00</t>
  </si>
  <si>
    <t xml:space="preserve">Exponential notation</t>
  </si>
  <si>
    <t xml:space="preserve">Integer Only</t>
  </si>
  <si>
    <t xml:space="preserve">#,##0</t>
  </si>
  <si>
    <t xml:space="preserve">No decimal, comma thousands</t>
  </si>
  <si>
    <t xml:space="preserve">Accounting</t>
  </si>
  <si>
    <t xml:space="preserve">_($* #,##0.00_)</t>
  </si>
  <si>
    <t xml:space="preserve">Accounting format with alignment</t>
  </si>
  <si>
    <t xml:space="preserve">TASK: Wrap Text, Alignment &amp; Merge &amp; Center — Product Descriptions</t>
  </si>
  <si>
    <t xml:space="preserve">📦 Product &amp; Description (Wrap Text ON)</t>
  </si>
  <si>
    <t xml:space="preserve">🎯 MERGE &amp; CENTER — SECTION HEADER (Columns D to I)</t>
  </si>
  <si>
    <t xml:space="preserve">Description</t>
  </si>
  <si>
    <t xml:space="preserve">Alignment</t>
  </si>
  <si>
    <t xml:space="preserve">Bush Somerset Collection Bookcase</t>
  </si>
  <si>
    <t xml:space="preserve">A premium quality bookcase with adjustable shelves ideal for home and office environments.</t>
  </si>
  <si>
    <t xml:space="preserve">LEFT</t>
  </si>
  <si>
    <t xml:space="preserve">Hon Deluxe Fabric Upholstered Stacking Chairs Rounded Back</t>
  </si>
  <si>
    <t xml:space="preserve">Ergonomic stacking chair for conference rooms. Available in multiple colors with rounded back.</t>
  </si>
  <si>
    <t xml:space="preserve">CENTER</t>
  </si>
  <si>
    <t xml:space="preserve">Self-Adhesive Address Labels for Typewriters by Universal</t>
  </si>
  <si>
    <t xml:space="preserve">Easy-peel labels compatible with most typewriters and inkjet printers. Pack of 250.</t>
  </si>
  <si>
    <t xml:space="preserve">RIGHT</t>
  </si>
  <si>
    <t xml:space="preserve">🔃  SECTION 3: SORT AND FILTER OPTIONS</t>
  </si>
  <si>
    <t xml:space="preserve">TASK 1–5: Sales Dataset — Sorted Descending by Sales (explore sort options in Data tab)</t>
  </si>
  <si>
    <t xml:space="preserve">#</t>
  </si>
  <si>
    <t xml:space="preserve">Order Date</t>
  </si>
  <si>
    <t xml:space="preserve">Sub-Category</t>
  </si>
  <si>
    <t xml:space="preserve">Color Tag</t>
  </si>
  <si>
    <t xml:space="preserve">Cisco TelePresence System EX90…</t>
  </si>
  <si>
    <t xml:space="preserve">Machines</t>
  </si>
  <si>
    <t xml:space="preserve">🟢 HIGH</t>
  </si>
  <si>
    <t xml:space="preserve">Canon imageCLASS 2200 Advanced…</t>
  </si>
  <si>
    <t xml:space="preserve">Copiers</t>
  </si>
  <si>
    <t xml:space="preserve">GBC Ibimaster 500 Manual ProCl…</t>
  </si>
  <si>
    <t xml:space="preserve">Binders</t>
  </si>
  <si>
    <t xml:space="preserve">Ibico EPK-21 Electric Binding …</t>
  </si>
  <si>
    <t xml:space="preserve">3D Systems Cube Printer, 2nd G…</t>
  </si>
  <si>
    <t xml:space="preserve">HP Designjet T520 Inkjet Large…</t>
  </si>
  <si>
    <t xml:space="preserve">High Speed Automatic Electric …</t>
  </si>
  <si>
    <t xml:space="preserve">Supplies</t>
  </si>
  <si>
    <t xml:space="preserve">Lexmark MX611dhe Monochrome La…</t>
  </si>
  <si>
    <t xml:space="preserve">Cubify CubeX 3D Printer Triple…</t>
  </si>
  <si>
    <t xml:space="preserve">Fellowes PB500 Electric Punch …</t>
  </si>
  <si>
    <t xml:space="preserve">GBC DocuBind P400 Electric Bin…</t>
  </si>
  <si>
    <t xml:space="preserve">Hewlett Packard LaserJet 3310 …</t>
  </si>
  <si>
    <t xml:space="preserve">📌 SORT TIPS: (1) Single-Level: Data → Sort → choose column &amp; order. (2) 2-Level: Add Level → Sort by Category A→Z, then Sales Largest→Smallest. (3) Sort by Color: Sort On = "Cell Color" (Column J). (4) Alphabetical A→Z or Z→A: sort Column C (Product Name).</t>
  </si>
  <si>
    <t xml:space="preserve">TASK: Alphabetical Sort — Top 10 Product Names A→Z</t>
  </si>
  <si>
    <t xml:space="preserve">Product Name (A→Z)</t>
  </si>
  <si>
    <t xml:space="preserve">"While you Were Out" Message Book, One F…</t>
  </si>
  <si>
    <t xml:space="preserve">Paper</t>
  </si>
  <si>
    <t xml:space="preserve">#10 Gummed Flap White Envelopes, 100/Box</t>
  </si>
  <si>
    <t xml:space="preserve">Envelopes</t>
  </si>
  <si>
    <t xml:space="preserve">#10 Self-Seal White Envelopes</t>
  </si>
  <si>
    <t xml:space="preserve">#10 White Business Envelopes,4 1/8 x 9 1…</t>
  </si>
  <si>
    <t xml:space="preserve">#10- 4 1/8" x 9 1/2" Recycled Envelopes</t>
  </si>
  <si>
    <t xml:space="preserve">#10- 4 1/8" x 9 1/2" Security-Tint Envel…</t>
  </si>
  <si>
    <t xml:space="preserve">#10-4 1/8" x 9 1/2" Premium Diagonal Sea…</t>
  </si>
  <si>
    <t xml:space="preserve">#6 3/4 Gummed Flap White Envelopes</t>
  </si>
  <si>
    <t xml:space="preserve">1.7 Cubic Foot Compact "Cube" Office Ref…</t>
  </si>
  <si>
    <t xml:space="preserve">Appliances</t>
  </si>
  <si>
    <t xml:space="preserve">1/4 Fold Party Design Invitations &amp; Whit…</t>
  </si>
  <si>
    <t xml:space="preserve">📅  SECTION 4: WORKING WITH DATES IN EXCEL</t>
  </si>
  <si>
    <t xml:space="preserve">TASK 1–5: Order vs Ship Dates — Subtraction, DATEDIF (D/M/Y), Custom Formats, Ship Speed</t>
  </si>
  <si>
    <t xml:space="preserve">Order ID</t>
  </si>
  <si>
    <t xml:space="preserve">Ship Date</t>
  </si>
  <si>
    <t xml:space="preserve">Days to Ship
(=C-B)</t>
  </si>
  <si>
    <t xml:space="preserve">DATEDIF
(D)</t>
  </si>
  <si>
    <t xml:space="preserve">DATEDIF
(M)</t>
  </si>
  <si>
    <t xml:space="preserve">DATEDIF
(Y)</t>
  </si>
  <si>
    <t xml:space="preserve">Date as Text
(TEXT fn)</t>
  </si>
  <si>
    <t xml:space="preserve">Ship Speed</t>
  </si>
  <si>
    <t xml:space="preserve">CA-2016-152156</t>
  </si>
  <si>
    <t xml:space="preserve">✈ Standard</t>
  </si>
  <si>
    <t xml:space="preserve">CA-2016-138688</t>
  </si>
  <si>
    <t xml:space="preserve">US-2015-108966</t>
  </si>
  <si>
    <t xml:space="preserve">🐢 Slow</t>
  </si>
  <si>
    <t xml:space="preserve">CA-2014-115812</t>
  </si>
  <si>
    <t xml:space="preserve">CA-2017-114412</t>
  </si>
  <si>
    <t xml:space="preserve">CA-2016-161389</t>
  </si>
  <si>
    <t xml:space="preserve">US-2015-118983</t>
  </si>
  <si>
    <t xml:space="preserve">CA-2014-105893</t>
  </si>
  <si>
    <t xml:space="preserve">CA-2014-167164</t>
  </si>
  <si>
    <t xml:space="preserve">⚡ Express</t>
  </si>
  <si>
    <t xml:space="preserve">CA-2014-143336</t>
  </si>
  <si>
    <t xml:space="preserve">CA-2016-137330</t>
  </si>
  <si>
    <t xml:space="preserve">US-2017-156909</t>
  </si>
  <si>
    <t xml:space="preserve">CA-2015-106320</t>
  </si>
  <si>
    <t xml:space="preserve">CA-2016-121755</t>
  </si>
  <si>
    <t xml:space="preserve">US-2015-150630</t>
  </si>
  <si>
    <t xml:space="preserve">TASK: Date Formula Reference — TODAY, DATE, YEAR, MONTH, DAY, WEEKDAY, EOMONTH…</t>
  </si>
  <si>
    <t xml:space="preserve">Formula</t>
  </si>
  <si>
    <t xml:space="preserve">Syntax</t>
  </si>
  <si>
    <t xml:space="preserve">What It Returns</t>
  </si>
  <si>
    <t xml:space="preserve">Example Output</t>
  </si>
  <si>
    <t xml:space="preserve">TODAY()</t>
  </si>
  <si>
    <t xml:space="preserve">Current date (auto-refreshes)</t>
  </si>
  <si>
    <t xml:space="preserve">e.g. 14-May-2026</t>
  </si>
  <si>
    <t xml:space="preserve">NOW()</t>
  </si>
  <si>
    <t xml:space="preserve">Current date &amp; time</t>
  </si>
  <si>
    <t xml:space="preserve">e.g. 14-May-2026 09:30</t>
  </si>
  <si>
    <t xml:space="preserve">DATE()</t>
  </si>
  <si>
    <t xml:space="preserve">Build a date from year/month/day</t>
  </si>
  <si>
    <t xml:space="preserve">25-Dec-2024</t>
  </si>
  <si>
    <t xml:space="preserve">YEAR()</t>
  </si>
  <si>
    <t xml:space="preserve">Extract year from a date</t>
  </si>
  <si>
    <t xml:space="preserve">2016</t>
  </si>
  <si>
    <t xml:space="preserve">MONTH()</t>
  </si>
  <si>
    <t xml:space="preserve">Extract month number</t>
  </si>
  <si>
    <t xml:space="preserve">11</t>
  </si>
  <si>
    <t xml:space="preserve">DAY()</t>
  </si>
  <si>
    <t xml:space="preserve">Extract day number</t>
  </si>
  <si>
    <t xml:space="preserve">8</t>
  </si>
  <si>
    <t xml:space="preserve">WEEKDAY()</t>
  </si>
  <si>
    <t xml:space="preserve">Day of week (1=Mon, 7=Sun)</t>
  </si>
  <si>
    <t xml:space="preserve">1–7</t>
  </si>
  <si>
    <t xml:space="preserve">TEXT()</t>
  </si>
  <si>
    <t xml:space="preserve">Format date as text string</t>
  </si>
  <si>
    <t xml:space="preserve">"November 2016"</t>
  </si>
  <si>
    <t xml:space="preserve">EOMONTH()</t>
  </si>
  <si>
    <t xml:space="preserve">Last day of the month</t>
  </si>
  <si>
    <t xml:space="preserve">30-Nov-2016</t>
  </si>
  <si>
    <t xml:space="preserve">NETWORKDAYS()</t>
  </si>
  <si>
    <t xml:space="preserve">Working days between two dates</t>
  </si>
  <si>
    <t xml:space="preserve">e.g. 3</t>
  </si>
  <si>
    <t xml:space="preserve">DATEDIF()</t>
  </si>
  <si>
    <t xml:space="preserve">Difference in D/M/Y units</t>
  </si>
  <si>
    <t xml:space="preserve">e.g. 3 days</t>
  </si>
  <si>
    <t xml:space="preserve">🔀  SECTION 5: LOGICAL FUNCTIONS — IF · AND · OR · IFERROR</t>
  </si>
  <si>
    <t xml:space="preserve">TASK 1–5: Sales Rep Dataset — IF, AND, OR, Nested IF, IFERROR</t>
  </si>
  <si>
    <t xml:space="preserve">Rep Name</t>
  </si>
  <si>
    <t xml:space="preserve">Target ($)</t>
  </si>
  <si>
    <t xml:space="preserve">IF: High/Low</t>
  </si>
  <si>
    <t xml:space="preserve">AND (Sales≥Target
&amp; Region=East)</t>
  </si>
  <si>
    <t xml:space="preserve">OR (Sales≥5000
or Region=West)</t>
  </si>
  <si>
    <t xml:space="preserve">Nested IF
(High/Mid/Low)</t>
  </si>
  <si>
    <t xml:space="preserve">IFERROR
(Sales÷Target)</t>
  </si>
  <si>
    <t xml:space="preserve">Claire Gute</t>
  </si>
  <si>
    <t xml:space="preserve">Furniture</t>
  </si>
  <si>
    <t xml:space="preserve">Darrin Van Huff</t>
  </si>
  <si>
    <t xml:space="preserve">Sean O'Donnell</t>
  </si>
  <si>
    <t xml:space="preserve">Brosina Hoffman</t>
  </si>
  <si>
    <t xml:space="preserve">Andrew Allen</t>
  </si>
  <si>
    <t xml:space="preserve">Irene Maddox</t>
  </si>
  <si>
    <t xml:space="preserve">Harold Pawlan</t>
  </si>
  <si>
    <t xml:space="preserve">Pete Kriz</t>
  </si>
  <si>
    <t xml:space="preserve">Alejandro Grove</t>
  </si>
  <si>
    <t xml:space="preserve">Zuschuss Donatelli</t>
  </si>
  <si>
    <t xml:space="preserve">Ken Black</t>
  </si>
  <si>
    <t xml:space="preserve">Sandra Flanagan</t>
  </si>
  <si>
    <t xml:space="preserve">Emily Burns</t>
  </si>
  <si>
    <t xml:space="preserve">Eric Hoffmann</t>
  </si>
  <si>
    <t xml:space="preserve">Tracy Blumstein</t>
  </si>
  <si>
    <t xml:space="preserve">Matt Abelman</t>
  </si>
  <si>
    <t xml:space="preserve">Gene Hale</t>
  </si>
  <si>
    <t xml:space="preserve">Steve Nguyen</t>
  </si>
  <si>
    <t xml:space="preserve">Linda Cazamias</t>
  </si>
  <si>
    <t xml:space="preserve">Ruben Ausman</t>
  </si>
  <si>
    <t xml:space="preserve">📚 Logical Formula Quick Reference</t>
  </si>
  <si>
    <t xml:space="preserve">Function</t>
  </si>
  <si>
    <t xml:space="preserve">When to Use / Notes</t>
  </si>
  <si>
    <t xml:space="preserve">IF</t>
  </si>
  <si>
    <t xml:space="preserve">=IF(test, val_true, val_false)</t>
  </si>
  <si>
    <t xml:space="preserve">Single condition branching</t>
  </si>
  <si>
    <t xml:space="preserve">AND</t>
  </si>
  <si>
    <t xml:space="preserve">=AND(cond1, cond2, ...)</t>
  </si>
  <si>
    <t xml:space="preserve">ALL conditions must be TRUE</t>
  </si>
  <si>
    <t xml:space="preserve">OR</t>
  </si>
  <si>
    <t xml:space="preserve">=OR(cond1, cond2, ...)</t>
  </si>
  <si>
    <t xml:space="preserve">ANY condition must be TRUE</t>
  </si>
  <si>
    <t xml:space="preserve">NOT</t>
  </si>
  <si>
    <t xml:space="preserve">=NOT(condition)</t>
  </si>
  <si>
    <t xml:space="preserve">Flips TRUE ↔ FALSE</t>
  </si>
  <si>
    <t xml:space="preserve">Nested IF</t>
  </si>
  <si>
    <t xml:space="preserve">=IF(A1&gt;1000,"Hi",IF(A1&gt;500,"Mid","Lo"))</t>
  </si>
  <si>
    <t xml:space="preserve">Multiple condition levels</t>
  </si>
  <si>
    <t xml:space="preserve">IFERROR</t>
  </si>
  <si>
    <t xml:space="preserve">=IFERROR(formula, fallback)</t>
  </si>
  <si>
    <t xml:space="preserve">Traps errors — use with VLOOKUP</t>
  </si>
  <si>
    <t xml:space="preserve">🧹  SECTION 6: PRACTICAL DATA CLEANING — Text Functions · Find &amp; Replace · Duplicates</t>
  </si>
  <si>
    <t xml:space="preserve">TASK 1–5: UPPER · PROPER · LOWER · TRIM · LEN · LEFT · RIGHT · MID · VALUE</t>
  </si>
  <si>
    <t xml:space="preserve">Raw Customer Name
(with extra spaces)</t>
  </si>
  <si>
    <t xml:space="preserve">UPPER</t>
  </si>
  <si>
    <t xml:space="preserve">PROPER</t>
  </si>
  <si>
    <t xml:space="preserve">LOWER</t>
  </si>
  <si>
    <t xml:space="preserve">TRIM (clean)</t>
  </si>
  <si>
    <t xml:space="preserve">LEN
(raw)</t>
  </si>
  <si>
    <t xml:space="preserve">LEN
(trimmed)</t>
  </si>
  <si>
    <t xml:space="preserve">LEFT(5) of TRIM</t>
  </si>
  <si>
    <t xml:space="preserve">RIGHT(4) of TRIM</t>
  </si>
  <si>
    <t xml:space="preserve">MID(4,3) of TRIM</t>
  </si>
  <si>
    <t xml:space="preserve">  claire  gute  </t>
  </si>
  <si>
    <t xml:space="preserve">DARRIN VAN HUFF</t>
  </si>
  <si>
    <t xml:space="preserve">sean   o'donnell</t>
  </si>
  <si>
    <t xml:space="preserve">  brosina  hoffman  </t>
  </si>
  <si>
    <t xml:space="preserve">ANDREW   ALLEN</t>
  </si>
  <si>
    <t xml:space="preserve">irene  maddox</t>
  </si>
  <si>
    <t xml:space="preserve">  harold  pawlan  </t>
  </si>
  <si>
    <t xml:space="preserve">PETE   KRIZ</t>
  </si>
  <si>
    <t xml:space="preserve">alejandro   grove</t>
  </si>
  <si>
    <t xml:space="preserve">  zuschuss  donatelli  </t>
  </si>
  <si>
    <t xml:space="preserve">KEN   BLACK</t>
  </si>
  <si>
    <t xml:space="preserve">  sanjit  engle  </t>
  </si>
  <si>
    <t xml:space="preserve">TASK: SEARCH vs FIND — Case Sensitivity Demo</t>
  </si>
  <si>
    <t xml:space="preserve">Text String</t>
  </si>
  <si>
    <t xml:space="preserve">Search Term</t>
  </si>
  <si>
    <t xml:space="preserve">SEARCH
(pos)</t>
  </si>
  <si>
    <t xml:space="preserve">FIND
(pos)</t>
  </si>
  <si>
    <t xml:space="preserve">Case match?</t>
  </si>
  <si>
    <t xml:space="preserve">MID+SEARCH
(extract)</t>
  </si>
  <si>
    <t xml:space="preserve">Notes</t>
  </si>
  <si>
    <t xml:space="preserve">Superstore Sales Report</t>
  </si>
  <si>
    <t xml:space="preserve">sales</t>
  </si>
  <si>
    <t xml:space="preserve">SEARCH ignores case; FIND is case-sensitive</t>
  </si>
  <si>
    <t xml:space="preserve">Canon imageCLASS 2200</t>
  </si>
  <si>
    <t xml:space="preserve">class</t>
  </si>
  <si>
    <t xml:space="preserve">HP Designjet T520 Color</t>
  </si>
  <si>
    <t xml:space="preserve">HP</t>
  </si>
  <si>
    <t xml:space="preserve">VLOOKUP and HLOOKUP</t>
  </si>
  <si>
    <t xml:space="preserve">lookup</t>
  </si>
  <si>
    <t xml:space="preserve">Pivot Table Analysis</t>
  </si>
  <si>
    <t xml:space="preserve">TABLE</t>
  </si>
  <si>
    <t xml:space="preserve">TASK: CONCATENATE &amp; Ampersand (&amp;) — Joining Names &amp; Building Labels</t>
  </si>
  <si>
    <t xml:space="preserve">First Name</t>
  </si>
  <si>
    <t xml:space="preserve">Last Name</t>
  </si>
  <si>
    <t xml:space="preserve">CONCATENATE
(space)</t>
  </si>
  <si>
    <t xml:space="preserve">&amp; Operator
(space)</t>
  </si>
  <si>
    <t xml:space="preserve">Last, First
(comma)</t>
  </si>
  <si>
    <t xml:space="preserve">Full Label
("Rep: name")</t>
  </si>
  <si>
    <t xml:space="preserve">VALUE demo
(text→number)</t>
  </si>
  <si>
    <t xml:space="preserve">Claire</t>
  </si>
  <si>
    <t xml:space="preserve">Gute</t>
  </si>
  <si>
    <t xml:space="preserve">Darrin</t>
  </si>
  <si>
    <t xml:space="preserve">Van Huff</t>
  </si>
  <si>
    <t xml:space="preserve">Sean</t>
  </si>
  <si>
    <t xml:space="preserve">O'Donnell</t>
  </si>
  <si>
    <t xml:space="preserve">Brosina</t>
  </si>
  <si>
    <t xml:space="preserve">Hoffman</t>
  </si>
  <si>
    <t xml:space="preserve">Andrew</t>
  </si>
  <si>
    <t xml:space="preserve">Allen</t>
  </si>
  <si>
    <t xml:space="preserve">💡 Go To Special Technique  |  Find &amp; Replace Tips</t>
  </si>
  <si>
    <t xml:space="preserve">Shortcut</t>
  </si>
  <si>
    <t xml:space="preserve">Feature</t>
  </si>
  <si>
    <t xml:space="preserve">How to use / Tip</t>
  </si>
  <si>
    <t xml:space="preserve">Ctrl+G → Special</t>
  </si>
  <si>
    <t xml:space="preserve">Select Blanks</t>
  </si>
  <si>
    <t xml:space="preserve">Fill blank cells with a value or formula</t>
  </si>
  <si>
    <t xml:space="preserve">Select Formulas</t>
  </si>
  <si>
    <t xml:space="preserve">Audit all formula cells at once</t>
  </si>
  <si>
    <t xml:space="preserve">Select Constants</t>
  </si>
  <si>
    <t xml:space="preserve">Find hardcoded values in the sheet</t>
  </si>
  <si>
    <t xml:space="preserve">Ctrl+H</t>
  </si>
  <si>
    <t xml:space="preserve">Find &amp; Replace</t>
  </si>
  <si>
    <t xml:space="preserve">Use wildcards: * = any text, ? = one char</t>
  </si>
  <si>
    <t xml:space="preserve">Replace All</t>
  </si>
  <si>
    <t xml:space="preserve">Replace "East" → "Eastern Region" in bulk</t>
  </si>
  <si>
    <t xml:space="preserve">📊  SECTION 7: PIVOT TABLE A-2-Z — Source Data + Step-by-Step Instructions</t>
  </si>
  <si>
    <t xml:space="preserve">Source Data — Select A4:M54 → Insert → PivotTable to practice all tasks</t>
  </si>
  <si>
    <t xml:space="preserve">Customer Name</t>
  </si>
  <si>
    <t xml:space="preserve">Segment</t>
  </si>
  <si>
    <t xml:space="preserve">Quantity</t>
  </si>
  <si>
    <t xml:space="preserve">Consumer</t>
  </si>
  <si>
    <t xml:space="preserve">Bookcases</t>
  </si>
  <si>
    <t xml:space="preserve">Chairs</t>
  </si>
  <si>
    <t xml:space="preserve">Hon Deluxe Fabric Upholstered Stacking Chairs, Rounded Back</t>
  </si>
  <si>
    <t xml:space="preserve">Corporate</t>
  </si>
  <si>
    <t xml:space="preserve">Labels</t>
  </si>
  <si>
    <t xml:space="preserve">Tables</t>
  </si>
  <si>
    <t xml:space="preserve">Bretford CR4500 Series Slim Rectangular Table</t>
  </si>
  <si>
    <t xml:space="preserve">Storage</t>
  </si>
  <si>
    <t xml:space="preserve">Eldon Fold 'N Roll Cart System</t>
  </si>
  <si>
    <t xml:space="preserve">Furnishings</t>
  </si>
  <si>
    <t xml:space="preserve">Eldon Expressions Wood and Plastic Desk Accessories, Cherry Wood</t>
  </si>
  <si>
    <t xml:space="preserve">Art</t>
  </si>
  <si>
    <t xml:space="preserve">Newell 322</t>
  </si>
  <si>
    <t xml:space="preserve">Phones</t>
  </si>
  <si>
    <t xml:space="preserve">Mitel 5320 IP Phone VoIP phone</t>
  </si>
  <si>
    <t xml:space="preserve">DXL Angle-View Binders with Locking Rings by Samsill</t>
  </si>
  <si>
    <t xml:space="preserve">Belkin F5C206VTEL 6 Outlet Surge</t>
  </si>
  <si>
    <t xml:space="preserve">Chromcraft Rectangular Conference Tables</t>
  </si>
  <si>
    <t xml:space="preserve">Konftel 250 Conference phone - Charcoal black</t>
  </si>
  <si>
    <t xml:space="preserve">Xerox 1967</t>
  </si>
  <si>
    <t xml:space="preserve">Fellowes PB200 Plastic Comb Binding Machine</t>
  </si>
  <si>
    <t xml:space="preserve">Home Office</t>
  </si>
  <si>
    <t xml:space="preserve">Holmes Replacement Filter for HEPA Air Cleaner, Very Large Room, HEPA Filter</t>
  </si>
  <si>
    <t xml:space="preserve">Storex DuraTech Recycled Plastic Frosted Binders</t>
  </si>
  <si>
    <t xml:space="preserve">Stur-D-Stor Shelving, Vertical 5-Shelf: 72"H x 36"W x 18 1/2"D</t>
  </si>
  <si>
    <t xml:space="preserve">Fellowes Super Stor/Drawer</t>
  </si>
  <si>
    <t xml:space="preserve">Newell 341</t>
  </si>
  <si>
    <t xml:space="preserve">Cisco SPA 501G IP Phone</t>
  </si>
  <si>
    <t xml:space="preserve">Wilson Jones Hanging View Binder, White, 1"</t>
  </si>
  <si>
    <t xml:space="preserve">Newell 318</t>
  </si>
  <si>
    <t xml:space="preserve">Acco Six-Outlet Power Strip, 4' Cord Length</t>
  </si>
  <si>
    <t xml:space="preserve">Global Deluxe Stacking Chair, Gray</t>
  </si>
  <si>
    <t xml:space="preserve">Wilson Jones Active Use Binders</t>
  </si>
  <si>
    <t xml:space="preserve">Accessories</t>
  </si>
  <si>
    <t xml:space="preserve">Imation 8GB Mini TravelDrive USB 2.0 Flash Drive</t>
  </si>
  <si>
    <t xml:space="preserve">Riverside Palais Royal Lawyers Bookcase, Royale Cherry Finish</t>
  </si>
  <si>
    <t xml:space="preserve">Avery Recycled Flexi-View Covers for Binding Systems</t>
  </si>
  <si>
    <t xml:space="preserve">Howard Miller 13-3/4" Diameter Brushed Chrome Round Wall Clock</t>
  </si>
  <si>
    <t xml:space="preserve">Poly String Tie Envelopes</t>
  </si>
  <si>
    <t xml:space="preserve">BOSTON Model 1800 Electric Pencil Sharpeners, Putty/Woodgrain</t>
  </si>
  <si>
    <t xml:space="preserve">Acco Pressboard Covers with Storage Hooks, 14 7/8" x 11", Executive Red</t>
  </si>
  <si>
    <t xml:space="preserve">Lumber Crayons</t>
  </si>
  <si>
    <t xml:space="preserve">CA-2017-107727</t>
  </si>
  <si>
    <t xml:space="preserve">Easy-staple paper</t>
  </si>
  <si>
    <t xml:space="preserve">CA-2016-117590</t>
  </si>
  <si>
    <t xml:space="preserve">GE 30524EE4</t>
  </si>
  <si>
    <t xml:space="preserve">Electrix Architect's Clamp-On Swing Arm Lamp, Black</t>
  </si>
  <si>
    <t xml:space="preserve">CA-2015-117415</t>
  </si>
  <si>
    <t xml:space="preserve">#10-4 1/8" x 9 1/2" Premium Diagonal Seam Envelopes</t>
  </si>
  <si>
    <t xml:space="preserve">Atlantic Metals Mobile 3-Shelf Bookcases, Custom Colors</t>
  </si>
  <si>
    <t xml:space="preserve">Global Fabric Manager's Chair, Dark Gray</t>
  </si>
  <si>
    <t xml:space="preserve">Plantronics HL10 Handset Lifter</t>
  </si>
  <si>
    <t xml:space="preserve">CA-2017-120999</t>
  </si>
  <si>
    <t xml:space="preserve">Panasonic Kx-TS550</t>
  </si>
  <si>
    <t xml:space="preserve">CA-2016-101343</t>
  </si>
  <si>
    <t xml:space="preserve">Eldon Base for stackable storage shelf, platinum</t>
  </si>
  <si>
    <t xml:space="preserve">CA-2017-139619</t>
  </si>
  <si>
    <t xml:space="preserve">Erin Smith</t>
  </si>
  <si>
    <t xml:space="preserve">Advantus 10-Drawer Portable Organizer, Chrome Metal Frame, Smoke Drawers</t>
  </si>
  <si>
    <t xml:space="preserve">CA-2016-118255</t>
  </si>
  <si>
    <t xml:space="preserve">Odella Nelson</t>
  </si>
  <si>
    <t xml:space="preserve">Verbatim 25 GB 6x Blu-ray Single Layer Recordable Disc, 25/Pack</t>
  </si>
  <si>
    <t xml:space="preserve">Wilson Jones Leather-Like Binders with DublLock Round Rings</t>
  </si>
  <si>
    <t xml:space="preserve">CA-2014-146703</t>
  </si>
  <si>
    <t xml:space="preserve">Patrick O'Donnell</t>
  </si>
  <si>
    <t xml:space="preserve">Gould Plastics 9-Pocket Panel Bin, 18-3/8w x 5-1/4d x 20-1/2h, Black</t>
  </si>
  <si>
    <t xml:space="preserve">CA-2016-169194</t>
  </si>
  <si>
    <t xml:space="preserve">Lena Hernandez</t>
  </si>
  <si>
    <t xml:space="preserve">Imation 8gb Micro Traveldrive Usb 2.0 Flash Drive</t>
  </si>
  <si>
    <t xml:space="preserve">LF Elite 3D Dazzle Designer Hard Case Cover, Lf Stylus Pen and Wiper For Apple Iphone 5c Mini Lite</t>
  </si>
  <si>
    <t xml:space="preserve">CA-2015-115742</t>
  </si>
  <si>
    <t xml:space="preserve">Darren Powers</t>
  </si>
  <si>
    <t xml:space="preserve">C-Line Peel &amp; Stick Add-On Filing Pockets, 8-3/4 x 5-1/8, 10/Pack</t>
  </si>
  <si>
    <t xml:space="preserve">📌  PIVOT TABLE TASK GUIDE — Follow these steps in Excel</t>
  </si>
  <si>
    <t xml:space="preserve">Task</t>
  </si>
  <si>
    <t xml:space="preserve">Step-by-Step Instructions</t>
  </si>
  <si>
    <t xml:space="preserve">Task 1 – Basic Pivot</t>
  </si>
  <si>
    <t xml:space="preserve">Insert → PivotTable → select A4:M54 → New Sheet. Drag: Category → Rows | Sales → Values (SUM). This gives total sales per category.</t>
  </si>
  <si>
    <t xml:space="preserve">Task 2 – Group by Month</t>
  </si>
  <si>
    <t xml:space="preserve">Add Order Date to Rows. Right-click any date → Group → select Months (and Years). Observe monthly sales trend.</t>
  </si>
  <si>
    <t xml:space="preserve">Task 3 – Multiple Tables</t>
  </si>
  <si>
    <t xml:space="preserve">Create a second PivotTable. Rows=Region, Columns=Category, Values=Sales. This gives a cross-tab view.</t>
  </si>
  <si>
    <t xml:space="preserve">Task 4 – Blank Cells</t>
  </si>
  <si>
    <t xml:space="preserve">In Pivot, right-click → PivotTable Options → Layout &amp; Format → For empty cells show: 0. This handles blank/missing values.</t>
  </si>
  <si>
    <t xml:space="preserve">Task 5 – Conditional Formatting</t>
  </si>
  <si>
    <t xml:space="preserve">Select the values area in your Pivot. Home → Conditional Formatting → Color Scales → Green-Yellow-Red. High sales = green, low = red.</t>
  </si>
  <si>
    <t xml:space="preserve">Bonus – Custom Group</t>
  </si>
  <si>
    <t xml:space="preserve">In Rows, Ctrl-click "Office Supplies" and "Furniture" → Right-click → Group. Rename group "Non-Tech". Compare against Technology.</t>
  </si>
  <si>
    <t xml:space="preserve">🔍  SECTION 8: LOOKUP FORMULAS — VLOOKUP · HLOOKUP · INDEX/MATCH</t>
  </si>
  <si>
    <t xml:space="preserve">Product Master Table — Named Range "ProductDB" (for VLOOKUP source)</t>
  </si>
  <si>
    <t xml:space="preserve">Product ID</t>
  </si>
  <si>
    <t xml:space="preserve">Unit Price ($)</t>
  </si>
  <si>
    <t xml:space="preserve">Stock Qty</t>
  </si>
  <si>
    <t xml:space="preserve">Reorder Level</t>
  </si>
  <si>
    <t xml:space="preserve">Lead Days</t>
  </si>
  <si>
    <t xml:space="preserve">TEC-MA-10002412</t>
  </si>
  <si>
    <t xml:space="preserve">Cisco TelePresence System EX90 Videoconferenc</t>
  </si>
  <si>
    <t xml:space="preserve">TEC-CO-10004722</t>
  </si>
  <si>
    <t xml:space="preserve">Canon imageCLASS 2200 Advanced Copier</t>
  </si>
  <si>
    <t xml:space="preserve">OFF-BI-10001120</t>
  </si>
  <si>
    <t xml:space="preserve">Ibico EPK-21 Electric Binding System</t>
  </si>
  <si>
    <t xml:space="preserve">TEC-MA-10001047</t>
  </si>
  <si>
    <t xml:space="preserve">3D Systems Cube Printer, 2nd Generation, Mage</t>
  </si>
  <si>
    <t xml:space="preserve">OFF-SU-10000151</t>
  </si>
  <si>
    <t xml:space="preserve">High Speed Automatic Electric Letter Opener</t>
  </si>
  <si>
    <t xml:space="preserve">TEC-MA-10000822</t>
  </si>
  <si>
    <t xml:space="preserve">Lexmark MX611dhe Monochrome Laser Printer</t>
  </si>
  <si>
    <t xml:space="preserve">TEC-MA-10004125</t>
  </si>
  <si>
    <t xml:space="preserve">Cubify CubeX 3D Printer Triple Head Print</t>
  </si>
  <si>
    <t xml:space="preserve">OFF-BI-10003527</t>
  </si>
  <si>
    <t xml:space="preserve">Fellowes PB500 Electric Punch Plastic Comb Bi</t>
  </si>
  <si>
    <t xml:space="preserve">TEC-MA-10003979</t>
  </si>
  <si>
    <t xml:space="preserve">Ativa V4110MDD Micro-Cut Shredder</t>
  </si>
  <si>
    <t xml:space="preserve">OFF-BI-10004995</t>
  </si>
  <si>
    <t xml:space="preserve">GBC DocuBind P400 Electric Binding System</t>
  </si>
  <si>
    <t xml:space="preserve">TEC-MA-10002927</t>
  </si>
  <si>
    <t xml:space="preserve">Canon imageCLASS MF7460 Monochrome Digital La</t>
  </si>
  <si>
    <t xml:space="preserve">TEC-MA-10003673</t>
  </si>
  <si>
    <t xml:space="preserve">Hewlett-Packard Desktjet 6988DT Refurbished P</t>
  </si>
  <si>
    <t xml:space="preserve">TEC-MA-10000984</t>
  </si>
  <si>
    <t xml:space="preserve">Okidata MB760 Printer</t>
  </si>
  <si>
    <t xml:space="preserve">TEC-CO-10001766</t>
  </si>
  <si>
    <t xml:space="preserve">Canon PC940 Copier</t>
  </si>
  <si>
    <t xml:space="preserve">FUR-BO-10004834</t>
  </si>
  <si>
    <t xml:space="preserve">Riverside Palais Royal Lawyers Bookcase, Roya</t>
  </si>
  <si>
    <t xml:space="preserve">💡 TIP: Select A4:H19 → Name Box (top-left) → type "ProductDB" → Enter. Then use =VLOOKUP(lookup,ProductDB,col,FALSE) for cleaner formulas.</t>
  </si>
  <si>
    <t xml:space="preserve">TASK 1–4: VLOOKUP — Exact Match, Approximate Match &amp; IFERROR</t>
  </si>
  <si>
    <t xml:space="preserve">Lookup ID</t>
  </si>
  <si>
    <t xml:space="preserve">Product Name
(col 2)</t>
  </si>
  <si>
    <t xml:space="preserve">Category
(col 3)</t>
  </si>
  <si>
    <t xml:space="preserve">Price
(col 5, exact)</t>
  </si>
  <si>
    <t xml:space="preserve">Price
(approx TRUE)</t>
  </si>
  <si>
    <t xml:space="preserve">IFERROR wrap</t>
  </si>
  <si>
    <t xml:space="preserve">Stock Qty
(col 6)</t>
  </si>
  <si>
    <t xml:space="preserve">Lead Days
(col 8)</t>
  </si>
  <si>
    <t xml:space="preserve">INVALID-001</t>
  </si>
  <si>
    <t xml:space="preserve">NOTFOUND-999</t>
  </si>
  <si>
    <t xml:space="preserve">TASK: HLOOKUP — Horizontal Lookup Table</t>
  </si>
  <si>
    <t xml:space="preserve">Cisco TelePresence Sys</t>
  </si>
  <si>
    <t xml:space="preserve">Canon imageCLASS 2200 </t>
  </si>
  <si>
    <t xml:space="preserve">Ibico EPK-21 Electric </t>
  </si>
  <si>
    <t xml:space="preserve">3D Systems Cube Printe</t>
  </si>
  <si>
    <t xml:space="preserve">High Speed Automatic E</t>
  </si>
  <si>
    <t xml:space="preserve">Price ($)</t>
  </si>
  <si>
    <t xml:space="preserve">HLOOKUP formulas — find Name (row 2) and Price (row 3) for a product</t>
  </si>
  <si>
    <t xml:space="preserve">HLOOKUP → Name
(row_index=2)</t>
  </si>
  <si>
    <t xml:space="preserve">HLOOKUP → Price
(row_index=3)</t>
  </si>
  <si>
    <t xml:space="preserve">HLOOKUP scans Row 1 for the ID, then returns the value from the specified row number</t>
  </si>
  <si>
    <t xml:space="preserve">⭐ BONUS: INDEX/MATCH — Flexible Alternative to VLOOKUP</t>
  </si>
  <si>
    <t xml:space="preserve">Lookup Value</t>
  </si>
  <si>
    <t xml:space="preserve">Lookup In</t>
  </si>
  <si>
    <t xml:space="preserve">Return From</t>
  </si>
  <si>
    <t xml:space="preserve">INDEX/MATCH Formula Result</t>
  </si>
  <si>
    <t xml:space="preserve">Why Better?</t>
  </si>
  <si>
    <t xml:space="preserve">Cisco TelePresence System EX90</t>
  </si>
  <si>
    <t xml:space="preserve">B5:B19 (Name)</t>
  </si>
  <si>
    <t xml:space="preserve">A5:A19 (ID)</t>
  </si>
  <si>
    <t xml:space="preserve">Looks LEFT — VLOOKUP cannot do this</t>
  </si>
  <si>
    <t xml:space="preserve">C5:C19 (Category)</t>
  </si>
  <si>
    <t xml:space="preserve">Works with any column order; column can move freely</t>
  </si>
  <si>
    <t xml:space="preserve">D5:D19 (Sub-Cat)</t>
  </si>
  <si>
    <t xml:space="preserve">E5:E19 (Price)</t>
  </si>
  <si>
    <t xml:space="preserve">Return array &amp; lookup array are independent</t>
  </si>
  <si>
    <t xml:space="preserve">📋 VLOOKUP vs HLOOKUP vs INDEX/MATCH — Comparison Summary</t>
  </si>
  <si>
    <t xml:space="preserve">VLOOKUP</t>
  </si>
  <si>
    <t xml:space="preserve">HLOOKUP</t>
  </si>
  <si>
    <t xml:space="preserve">INDEX/MATCH</t>
  </si>
  <si>
    <t xml:space="preserve">Search direction</t>
  </si>
  <si>
    <t xml:space="preserve">Vertical (top→down)</t>
  </si>
  <si>
    <t xml:space="preserve">Horizontal (left→right)</t>
  </si>
  <si>
    <t xml:space="preserve">Either direction</t>
  </si>
  <si>
    <t xml:space="preserve">Lookup column pos</t>
  </si>
  <si>
    <t xml:space="preserve">Must be FIRST column</t>
  </si>
  <si>
    <t xml:space="preserve">Must be FIRST row</t>
  </si>
  <si>
    <t xml:space="preserve">Any column/row</t>
  </si>
  <si>
    <t xml:space="preserve">Return column</t>
  </si>
  <si>
    <t xml:space="preserve">Specify column number</t>
  </si>
  <si>
    <t xml:space="preserve">Specify row number</t>
  </si>
  <si>
    <t xml:space="preserve">Specify any range</t>
  </si>
  <si>
    <t xml:space="preserve">Can look LEFT?</t>
  </si>
  <si>
    <t xml:space="preserve">❌ No</t>
  </si>
  <si>
    <t xml:space="preserve">✅ Yes</t>
  </si>
  <si>
    <t xml:space="preserve">Column insert safe?</t>
  </si>
  <si>
    <t xml:space="preserve">❌ Breaks formula</t>
  </si>
  <si>
    <t xml:space="preserve">✅ Stays correct</t>
  </si>
  <si>
    <t xml:space="preserve">Best use case</t>
  </si>
  <si>
    <t xml:space="preserve">Vertical tables (most common)</t>
  </si>
  <si>
    <t xml:space="preserve">Horizontal/summary tables</t>
  </si>
  <si>
    <t xml:space="preserve">Complex or large datasets</t>
  </si>
  <si>
    <t xml:space="preserve">📐  SECTION 9: CONDITIONAL AGGREGATION — COUNTIF · SUMIF · AVERAGEIF · COUNTIFS · SUMIFS</t>
  </si>
  <si>
    <t xml:space="preserve">Source Data — 30 Real Superstore Orders (used for all formula tasks below)</t>
  </si>
  <si>
    <t xml:space="preserve">Ship Mode</t>
  </si>
  <si>
    <t xml:space="preserve">Second Class</t>
  </si>
  <si>
    <t xml:space="preserve">Standard Class</t>
  </si>
  <si>
    <t xml:space="preserve">TASK 1–3: COUNTIF · SUMIF · AVERAGEIF — Single Criterion</t>
  </si>
  <si>
    <t xml:space="preserve">Criterion Description</t>
  </si>
  <si>
    <t xml:space="preserve">Result</t>
  </si>
  <si>
    <t xml:space="preserve">Interpretation</t>
  </si>
  <si>
    <t xml:space="preserve">COUNTIF</t>
  </si>
  <si>
    <t xml:space="preserve">Region = "East"</t>
  </si>
  <si>
    <t xml:space="preserve">Count of East region orders</t>
  </si>
  <si>
    <t xml:space="preserve">Sales &gt; $500</t>
  </si>
  <si>
    <t xml:space="preserve">Orders above $500 in sales</t>
  </si>
  <si>
    <t xml:space="preserve">Category = "Technology"</t>
  </si>
  <si>
    <t xml:space="preserve">Technology category orders</t>
  </si>
  <si>
    <t xml:space="preserve">SUMIF</t>
  </si>
  <si>
    <t xml:space="preserve">Region="West" → total Sales</t>
  </si>
  <si>
    <t xml:space="preserve">Total sales from West region</t>
  </si>
  <si>
    <t xml:space="preserve">Category="Furniture" → Profit</t>
  </si>
  <si>
    <t xml:space="preserve">Total profit from Furniture orders</t>
  </si>
  <si>
    <t xml:space="preserve">Discount&gt;0 → total Sales</t>
  </si>
  <si>
    <t xml:space="preserve">Sales where a discount was applied</t>
  </si>
  <si>
    <t xml:space="preserve">AVERAGEIF</t>
  </si>
  <si>
    <t xml:space="preserve">Region="Central" → avg Sales</t>
  </si>
  <si>
    <t xml:space="preserve">Average sales in Central region</t>
  </si>
  <si>
    <t xml:space="preserve">Category="Office Supplies" → Qty</t>
  </si>
  <si>
    <t xml:space="preserve">Avg quantity for Office Supplies</t>
  </si>
  <si>
    <t xml:space="preserve">Profit&gt;0 → avg Profit</t>
  </si>
  <si>
    <t xml:space="preserve">Avg profit — profitable orders only</t>
  </si>
  <si>
    <t xml:space="preserve">TASK 4–5: COUNTIFS &amp; SUMIFS — Multiple Criteria (AND logic)</t>
  </si>
  <si>
    <t xml:space="preserve">Criterion 1</t>
  </si>
  <si>
    <t xml:space="preserve">Criterion 2</t>
  </si>
  <si>
    <t xml:space="preserve">COUNTIFS</t>
  </si>
  <si>
    <t xml:space="preserve">Region="East"</t>
  </si>
  <si>
    <t xml:space="preserve">Category="Technology"</t>
  </si>
  <si>
    <t xml:space="preserve">East + Technology orders</t>
  </si>
  <si>
    <t xml:space="preserve">Sales&gt;200</t>
  </si>
  <si>
    <t xml:space="preserve">Discount=0</t>
  </si>
  <si>
    <t xml:space="preserve">High-value, no-discount orders</t>
  </si>
  <si>
    <t xml:space="preserve">Segment="Consumer"</t>
  </si>
  <si>
    <t xml:space="preserve">Profit&gt;0</t>
  </si>
  <si>
    <t xml:space="preserve">Profitable Consumer orders</t>
  </si>
  <si>
    <t xml:space="preserve">SUMIFS</t>
  </si>
  <si>
    <t xml:space="preserve">Region="West"</t>
  </si>
  <si>
    <t xml:space="preserve">West + Technology total sales</t>
  </si>
  <si>
    <t xml:space="preserve">No-discount, profitable total sales</t>
  </si>
  <si>
    <t xml:space="preserve">Category="Furniture"</t>
  </si>
  <si>
    <t xml:space="preserve">Region="South"</t>
  </si>
  <si>
    <t xml:space="preserve">South Furniture total profit</t>
  </si>
  <si>
    <t xml:space="preserve">AVERAGEIFS</t>
  </si>
  <si>
    <t xml:space="preserve">Sales&gt;100</t>
  </si>
  <si>
    <t xml:space="preserve">Avg sales: East, Sales&gt;$100</t>
  </si>
  <si>
    <t xml:space="preserve">📚 Quick Reference — Syntax Rules</t>
  </si>
  <si>
    <t xml:space="preserve">Key Rule</t>
  </si>
  <si>
    <t xml:space="preserve">=COUNTIF(range, criteria)</t>
  </si>
  <si>
    <t xml:space="preserve">One range, one criterion — criteria can be text, number, or expression like "&gt;500"</t>
  </si>
  <si>
    <t xml:space="preserve">=SUMIF(criteria_range, criteria, sum_range)</t>
  </si>
  <si>
    <t xml:space="preserve">Criteria range and sum range can be different columns</t>
  </si>
  <si>
    <t xml:space="preserve">=AVERAGEIF(criteria_range, criteria, average_range)</t>
  </si>
  <si>
    <t xml:space="preserve">Blank cells in average_range are ignored automatically</t>
  </si>
  <si>
    <t xml:space="preserve">=COUNTIFS(range1, crit1, range2, crit2, ...)</t>
  </si>
  <si>
    <t xml:space="preserve">All criteria applied as AND — all must match simultaneously</t>
  </si>
  <si>
    <t xml:space="preserve">=SUMIFS(sum_range, range1, crit1, range2, crit2, ...)</t>
  </si>
  <si>
    <t xml:space="preserve">sum_range is the FIRST argument — opposite to SUMIF</t>
  </si>
  <si>
    <t xml:space="preserve">=AVERAGEIFS(avg_range, range1, crit1, range2, crit2, ...)</t>
  </si>
  <si>
    <t xml:space="preserve">avg_range is FIRST — consistent with SUMIFS</t>
  </si>
  <si>
    <t xml:space="preserve">🎨  SECTION 10: CONDITIONAL FORMATTING — Color Rules · Scales · Data Bars · Icon Sets · Formula Rules</t>
  </si>
  <si>
    <t xml:space="preserve">TASK 1–5: Sales Dataset — Apply Conditional Formatting rules to highlighted columns</t>
  </si>
  <si>
    <t xml:space="preserve">💡 HOW TO APPLY: Select the data column → Home tab → Conditional Formatting → choose rule. Each task below targets a specific column. The step-by-step task guide is at row 39.</t>
  </si>
  <si>
    <t xml:space="preserve">Customer</t>
  </si>
  <si>
    <t xml:space="preserve">Performance Tag</t>
  </si>
  <si>
    <t xml:space="preserve">〽️ Mid</t>
  </si>
  <si>
    <t xml:space="preserve">🔻 Low</t>
  </si>
  <si>
    <t xml:space="preserve">📋 CONDITIONAL FORMATTING TASK GUIDE — Step by Step</t>
  </si>
  <si>
    <t xml:space="preserve">Apply To</t>
  </si>
  <si>
    <t xml:space="preserve">Rule Type</t>
  </si>
  <si>
    <t xml:space="preserve">Task 1
Highlight Cells</t>
  </si>
  <si>
    <t xml:space="preserve">Column D
(Sales $)</t>
  </si>
  <si>
    <t xml:space="preserve">Cell Value &gt;
threshold</t>
  </si>
  <si>
    <t xml:space="preserve">Select D6:D35 → Home → Conditional Formatting → Highlight Cell Rules → Greater Than → enter 500 → select "Green Fill with Dark Green Text" → OK. Orders above $500 will glow green immediately.</t>
  </si>
  <si>
    <t xml:space="preserve">Task 2
Color Scale</t>
  </si>
  <si>
    <t xml:space="preserve">3-Color Scale
(Green-Yellow-Red)</t>
  </si>
  <si>
    <t xml:space="preserve">Select D6:D35 → Home → Conditional Formatting → Color Scales → choose Green-Yellow-Red (top-left option). Highest sales = green, middle = yellow, lowest = red. Great for spotting the range at a glance.</t>
  </si>
  <si>
    <t xml:space="preserve">Task 3
Data Bars</t>
  </si>
  <si>
    <t xml:space="preserve">Column E
(Profit $)</t>
  </si>
  <si>
    <t xml:space="preserve">Data Bar
(Gradient)</t>
  </si>
  <si>
    <t xml:space="preserve">Select E6:E35 → Home → Conditional Formatting → Data Bars → Blue Data Bar (gradient fill). Positive profits show a right-growing bar; negative profits show a left-growing red bar. No chart needed!</t>
  </si>
  <si>
    <t xml:space="preserve">Task 4
Icon Sets</t>
  </si>
  <si>
    <t xml:space="preserve">Column F
(Quantity)</t>
  </si>
  <si>
    <t xml:space="preserve">3-Arrow
Icon Set</t>
  </si>
  <si>
    <t xml:space="preserve">Select F6:F35 → Home → Conditional Formatting → Icon Sets → 3 Arrows (Colored). Then click "Manage Rules" → Edit Rule → set: green arrow if ≥ 5, yellow if ≥ 2, red otherwise. Icons appear inside each cell.</t>
  </si>
  <si>
    <t xml:space="preserve">Task 5
Formula Rule</t>
  </si>
  <si>
    <t xml:space="preserve">Entire row
A6:J35</t>
  </si>
  <si>
    <t xml:space="preserve">Use a Formula
(row-level rule)</t>
  </si>
  <si>
    <t xml:space="preserve">Select A6:J35 → Home → Conditional Formatting → New Rule → "Use a formula to determine..." → type: =AND($E6&lt;0,$D6&gt;500) → Format → Fill → choose light red → OK. This flags high-sales but loss-making orders — useful data quality insight.</t>
  </si>
  <si>
    <t xml:space="preserve">🗺️ Manual Color Legend — Performance Tag column (Column J)</t>
  </si>
  <si>
    <t xml:space="preserve">Tag</t>
  </si>
  <si>
    <t xml:space="preserve">Condition</t>
  </si>
  <si>
    <t xml:space="preserve">Color Applied</t>
  </si>
  <si>
    <t xml:space="preserve">Sales ≥ $1,000</t>
  </si>
  <si>
    <t xml:space="preserve">Hex: #70AD47</t>
  </si>
  <si>
    <t xml:space="preserve">$200 ≤ Sales &lt; $1,000</t>
  </si>
  <si>
    <t xml:space="preserve">Hex: #FFD966</t>
  </si>
  <si>
    <t xml:space="preserve">Sales &lt; $200</t>
  </si>
  <si>
    <t xml:space="preserve">Hex: #FF7070</t>
  </si>
  <si>
    <t xml:space="preserve">📋  SECTION 11: REPORT CONSOLIDATION — Multi-Sheet SUM · CONSOLIDATE Feature · SUBTOTAL Function</t>
  </si>
  <si>
    <t xml:space="preserve">TASK 1–2: Monthly Sales by Year — 4 Years of Real Superstore Data</t>
  </si>
  <si>
    <t xml:space="preserve">Annual Total</t>
  </si>
  <si>
    <t xml:space="preserve">Grand Total</t>
  </si>
  <si>
    <t xml:space="preserve">TASK 3: Category × Region Cross-Tab — Use CONSOLIDATE Feature for this</t>
  </si>
  <si>
    <t xml:space="preserve">Row Total</t>
  </si>
  <si>
    <t xml:space="preserve">Row %</t>
  </si>
  <si>
    <t xml:space="preserve">YoY Growth Note</t>
  </si>
  <si>
    <t xml:space="preserve">Strong in West; loss-making Bookcases drag margin</t>
  </si>
  <si>
    <t xml:space="preserve">Highest order volume; thin margins</t>
  </si>
  <si>
    <t xml:space="preserve">Best avg sale value; Copiers most profitable sub-cat</t>
  </si>
  <si>
    <t xml:space="preserve">Column Total</t>
  </si>
  <si>
    <t xml:space="preserve">100.0%</t>
  </si>
  <si>
    <t xml:space="preserve">💡 HOW TO USE THE CONSOLIDATE FEATURE (Data → Consolidate)</t>
  </si>
  <si>
    <t xml:space="preserve">STEP-BY-STEP: (1) Create separate sheets for each year (or region). (2) Go to the summary sheet → click the top-left cell of your destination. (3) Data tab → Consolidate → Function: Sum → click "Add" for each source range (e.g. Sheet1!$A$1:$M$5) → check "Top row" and "Left column" → OK. Excel combines matching labels automatically across all sheets.</t>
  </si>
  <si>
    <t xml:space="preserve">TASK 4–5: SUBTOTAL Function — Works with Filters; SUM Does Not</t>
  </si>
  <si>
    <t xml:space="preserve">🔑 KEY INSIGHT: Apply a filter to column B (Category) below, then compare the SUBTOTAL formulas (row 44) vs SUM formulas (row 45). SUBTOTAL updates dynamically; SUM always totals everything.</t>
  </si>
  <si>
    <t xml:space="preserve">Formula Type</t>
  </si>
  <si>
    <t xml:space="preserve">Sales Formula</t>
  </si>
  <si>
    <t xml:space="preserve">Sales RESULT</t>
  </si>
  <si>
    <t xml:space="preserve">Profit Formula</t>
  </si>
  <si>
    <t xml:space="preserve">Profit RESULT</t>
  </si>
  <si>
    <t xml:space="preserve">Note</t>
  </si>
  <si>
    <t xml:space="preserve">SUBTOTAL(9) — SUM</t>
  </si>
  <si>
    <t xml:space="preserve">Respects active filters ✅</t>
  </si>
  <si>
    <t xml:space="preserve">SUBTOTAL(1) — AVG</t>
  </si>
  <si>
    <t xml:space="preserve">Average of visible rows ✅</t>
  </si>
  <si>
    <t xml:space="preserve">SUBTOTAL(4) — MAX</t>
  </si>
  <si>
    <t xml:space="preserve">Max of visible rows ✅</t>
  </si>
  <si>
    <t xml:space="preserve">SUBTOTAL(5) — MIN</t>
  </si>
  <si>
    <t xml:space="preserve">Min of visible rows ✅</t>
  </si>
  <si>
    <t xml:space="preserve">SUM (baseline)</t>
  </si>
  <si>
    <t xml:space="preserve">Always totals ALL rows ⚠️</t>
  </si>
  <si>
    <t xml:space="preserve">📚 SUBTOTAL Function Code Reference</t>
  </si>
  <si>
    <t xml:space="preserve">Code
(include hidden)</t>
  </si>
  <si>
    <t xml:space="preserve">Code
(ignore hidden)</t>
  </si>
  <si>
    <t xml:space="preserve">Equivalent to</t>
  </si>
  <si>
    <t xml:space="preserve">Best Use Case</t>
  </si>
  <si>
    <t xml:space="preserve">AVERAGE</t>
  </si>
  <si>
    <t xml:space="preserve">AVERAGE()</t>
  </si>
  <si>
    <t xml:space="preserve">Average of filtered data — ignores hidden rows</t>
  </si>
  <si>
    <t xml:space="preserve">COUNT</t>
  </si>
  <si>
    <t xml:space="preserve">COUNT()</t>
  </si>
  <si>
    <t xml:space="preserve">Count numeric visible cells after filtering</t>
  </si>
  <si>
    <t xml:space="preserve">COUNTA</t>
  </si>
  <si>
    <t xml:space="preserve">COUNTA()</t>
  </si>
  <si>
    <t xml:space="preserve">Count non-blank visible cells</t>
  </si>
  <si>
    <t xml:space="preserve">MAX</t>
  </si>
  <si>
    <t xml:space="preserve">MAX()</t>
  </si>
  <si>
    <t xml:space="preserve">Highest value in filtered visible range</t>
  </si>
  <si>
    <t xml:space="preserve">MIN</t>
  </si>
  <si>
    <t xml:space="preserve">MIN()</t>
  </si>
  <si>
    <t xml:space="preserve">Lowest value in filtered visible range</t>
  </si>
  <si>
    <t xml:space="preserve">SUM</t>
  </si>
  <si>
    <t xml:space="preserve">SUM()</t>
  </si>
  <si>
    <t xml:space="preserve">Total of visible rows — most commonly used code</t>
  </si>
  <si>
    <t xml:space="preserve">VAR</t>
  </si>
  <si>
    <t xml:space="preserve">VAR()</t>
  </si>
  <si>
    <t xml:space="preserve">Variance of visible dataset</t>
  </si>
  <si>
    <t xml:space="preserve">⚙️  SECTION 12: VBA MACROS — What is VBA · Developer Tab · Record · Run · Edit · Security</t>
  </si>
  <si>
    <t xml:space="preserve">TASK 1: What is VBA? — Definition, Purpose &amp; Core Concepts</t>
  </si>
  <si>
    <t xml:space="preserve">Topic</t>
  </si>
  <si>
    <t xml:space="preserve">Definition</t>
  </si>
  <si>
    <t xml:space="preserve">VBA (Visual Basic for Applications) is the programming language built into Microsoft Office. It lets you write scripts (called "macros") that automate actions inside Excel — from formatting cells to sending emails.</t>
  </si>
  <si>
    <t xml:space="preserve">Why Use VBA?</t>
  </si>
  <si>
    <t xml:space="preserve">Tasks that take hours manually (formatting 5,000 rows, generating 50 reports, validating data) run in seconds. VBA turns Excel from a spreadsheet tool into a full automation platform.</t>
  </si>
  <si>
    <t xml:space="preserve">Macro vs VBA Code</t>
  </si>
  <si>
    <t xml:space="preserve">A Macro is a saved sequence of actions. VBA is the language it is written in. Recording a macro auto-generates VBA code — you can then read, edit, and extend that code.</t>
  </si>
  <si>
    <t xml:space="preserve">Where Code Lives</t>
  </si>
  <si>
    <t xml:space="preserve">VBA code is stored in Modules inside the VBA Editor (press Alt+F11 to open it). The workbook must be saved as .xlsm (macro-enabled) — .xlsx cannot store macros.</t>
  </si>
  <si>
    <t xml:space="preserve">How It Executes</t>
  </si>
  <si>
    <t xml:space="preserve">When you run a macro, Excel reads each line of VBA top-to-bottom and performs that action. Variables, loops (For/Next), and conditions (If/Then) give you full programming power.</t>
  </si>
  <si>
    <t xml:space="preserve">TASK 2: Advantages &amp; Disadvantages of VBA Macros</t>
  </si>
  <si>
    <t xml:space="preserve">✅ Advantages</t>
  </si>
  <si>
    <t xml:space="preserve">❌ Disadvantages / Risks</t>
  </si>
  <si>
    <t xml:space="preserve">✅  Automates repetitive tasks — saves hours of manual work</t>
  </si>
  <si>
    <t xml:space="preserve">❌  Macros can carry malware — treat untrusted files with caution</t>
  </si>
  <si>
    <t xml:space="preserve">✅  Works across all Office apps (Excel, Word, Outlook)</t>
  </si>
  <si>
    <t xml:space="preserve">❌  Code breaks if sheet layout changes (moved columns, renamed sheets)</t>
  </si>
  <si>
    <t xml:space="preserve">✅  Can create custom worksheet functions (UDFs)</t>
  </si>
  <si>
    <t xml:space="preserve">❌  Limited cross-platform support (Mac has some restrictions)</t>
  </si>
  <si>
    <t xml:space="preserve">✅  Interacts with files, folders, databases, and the web</t>
  </si>
  <si>
    <t xml:space="preserve">❌  Requires basic programming knowledge to write or edit code</t>
  </si>
  <si>
    <t xml:space="preserve">✅  No extra software or license needed — built into Excel</t>
  </si>
  <si>
    <t xml:space="preserve">❌  Files must be .xlsm — .xlsx silently strips macro code on save</t>
  </si>
  <si>
    <t xml:space="preserve">TASK 3–4: Enable Developer Tab &amp; Explore Its Features</t>
  </si>
  <si>
    <t xml:space="preserve">Step</t>
  </si>
  <si>
    <t xml:space="preserve">Action / Description</t>
  </si>
  <si>
    <t xml:space="preserve">Step 1</t>
  </si>
  <si>
    <t xml:space="preserve">Click File → Options (at the very bottom of the left panel)</t>
  </si>
  <si>
    <t xml:space="preserve">Step 2</t>
  </si>
  <si>
    <t xml:space="preserve">In the Excel Options dialog, click "Customize Ribbon" in the left menu</t>
  </si>
  <si>
    <t xml:space="preserve">Step 3</t>
  </si>
  <si>
    <t xml:space="preserve">In the right panel (Main Tabs), tick the checkbox next to "Developer"</t>
  </si>
  <si>
    <t xml:space="preserve">Step 4</t>
  </si>
  <si>
    <t xml:space="preserve">Click OK — the Developer tab now appears between View and Help in the Ribbon</t>
  </si>
  <si>
    <t xml:space="preserve">Step 5</t>
  </si>
  <si>
    <t xml:space="preserve">Click Developer → explore all groups: Code | Add-ins | Controls | XML | Protect</t>
  </si>
  <si>
    <t xml:space="preserve">Key Feature: Macros</t>
  </si>
  <si>
    <t xml:space="preserve">Opens the macro list — run, edit, delete, or step through macros</t>
  </si>
  <si>
    <t xml:space="preserve">Key Feature: Record Macro</t>
  </si>
  <si>
    <t xml:space="preserve">Starts recording your actions as auto-generated VBA code</t>
  </si>
  <si>
    <t xml:space="preserve">Key Feature: Visual Basic</t>
  </si>
  <si>
    <t xml:space="preserve">Opens the VBA Editor (identical to pressing Alt+F11)</t>
  </si>
  <si>
    <t xml:space="preserve">Key Feature: Insert Controls</t>
  </si>
  <si>
    <t xml:space="preserve">Add buttons, checkboxes, dropdowns to your worksheets</t>
  </si>
  <si>
    <t xml:space="preserve">Key Feature: Macro Security</t>
  </si>
  <si>
    <t xml:space="preserve">Set whether macros are allowed to run — critical for safety</t>
  </si>
  <si>
    <t xml:space="preserve">TASK 5–6: Record · Run · Save · Edit a Macro — Full Walkthrough</t>
  </si>
  <si>
    <t xml:space="preserve">Phase</t>
  </si>
  <si>
    <t xml:space="preserve">Detailed Steps</t>
  </si>
  <si>
    <t xml:space="preserve">🔴 RECORD</t>
  </si>
  <si>
    <t xml:space="preserve">1. Developer → Record Macro
2. Name: "FormatTable" | Shortcut: Ctrl+Shift+F | Store in: This Workbook → OK
3. Perform actions: bold row 1, add borders (All Borders), fill header row dark blue, auto-fit columns
4. Developer → Stop Recording   ← very important! Forgot this = records everything</t>
  </si>
  <si>
    <t xml:space="preserve">▶ RUN (3 ways)</t>
  </si>
  <si>
    <t xml:space="preserve">• Method 1 — Ribbon: Developer → Macros → select FormatTable → Run
• Method 2 — Shortcut: Press Ctrl+Shift+F (your assigned key)
• Method 3 — Button: Developer → Insert → Button (Form Control) → draw on sheet → assign macro → click button</t>
  </si>
  <si>
    <t xml:space="preserve">👁 VIEW CODE</t>
  </si>
  <si>
    <t xml:space="preserve">• Press Alt+F11 to open the VBA Editor
• In Project Explorer (left panel), expand your workbook → Modules → Module1
• Double-click Module1 → the recorded VBA code appears in the Code Window on the right</t>
  </si>
  <si>
    <t xml:space="preserve">✏️ EDIT CODE</t>
  </si>
  <si>
    <t xml:space="preserve">Modify the generated code directly. Common edits:
  .Interior.Color = RGB(31, 78, 121)   ← change the fill color
  MsgBox "Formatting done!"             ← add a confirmation popup
  For i = 1 To 10 ... Next i            ← add a loop</t>
  </si>
  <si>
    <t xml:space="preserve">💾 SAVE</t>
  </si>
  <si>
    <t xml:space="preserve">• File → Save As → change "Save as type" to Excel Macro-Enabled Workbook (*.xlsm)
• ⚠️ If you save as .xlsx, Excel will warn you and strip all macros silently
• PERSONAL.XLSB = save macros here to make them available in ALL workbooks you open</t>
  </si>
  <si>
    <t xml:space="preserve">TASK 7: Sample VBA Code — Copy These Into the VBA Editor to Practice</t>
  </si>
  <si>
    <t xml:space="preserve">Snippet Name</t>
  </si>
  <si>
    <t xml:space="preserve">VBA Code (paste into a Module in the VBA Editor)</t>
  </si>
  <si>
    <t xml:space="preserve">What It Does</t>
  </si>
  <si>
    <t xml:space="preserve">1. Hello World</t>
  </si>
  <si>
    <t xml:space="preserve">Sub HelloWorld()
    MsgBox "Hello, Excel!"
End Sub</t>
  </si>
  <si>
    <t xml:space="preserve">Shows a pop-up message — simplest possible macro</t>
  </si>
  <si>
    <t xml:space="preserve">2. Bold &amp; Color Header</t>
  </si>
  <si>
    <t xml:space="preserve">Sub FormatHeader()
    With Rows(1)
        .Font.Bold = True
        .Font.Color = RGB(255,255,255)
        .Interior.Color = RGB(31,78,121)
    End With
End Sub</t>
  </si>
  <si>
    <t xml:space="preserve">Makes row 1 white bold text on dark blue background</t>
  </si>
  <si>
    <t xml:space="preserve">3. Auto-Fit All Columns</t>
  </si>
  <si>
    <t xml:space="preserve">Sub AutoFit()
    Cells.EntireColumn.AutoFit
End Sub</t>
  </si>
  <si>
    <t xml:space="preserve">Instantly fits every column to its content width</t>
  </si>
  <si>
    <t xml:space="preserve">4. Alternate Row Colors</t>
  </si>
  <si>
    <t xml:space="preserve">Sub AlternateRows()
    Dim i As Integer
    For i = 2 To 100
        If i Mod 2 = 0 Then
            Rows(i).Interior.Color = RGB(222,234,246)
        Else
            Rows(i).Interior.Color = RGB(255,255,255)
        End If
    Next i
End Sub</t>
  </si>
  <si>
    <t xml:space="preserve">Colors even rows light blue, odd rows white — like this workbook!</t>
  </si>
  <si>
    <t xml:space="preserve">5. Input Box Greeting</t>
  </si>
  <si>
    <t xml:space="preserve">Sub GetName()
    Dim nm As String
    nm = InputBox("Enter your name:")
    If nm &lt;&gt; "" Then MsgBox "Hello, " &amp; nm &amp; "!"
End Sub</t>
  </si>
  <si>
    <t xml:space="preserve">Asks user for input and shows a personalized greeting</t>
  </si>
  <si>
    <t xml:space="preserve">6. Auto-Run on Open</t>
  </si>
  <si>
    <t xml:space="preserve">Private Sub Workbook_Open()
    MsgBox "Welcome! Opened on " &amp; Format(Now, "DD-MMM-YYYY")
End Sub</t>
  </si>
  <si>
    <t xml:space="preserve">Put this in the ThisWorkbook module — runs when the file opens</t>
  </si>
  <si>
    <t xml:space="preserve">7. Loop &amp; Write to Cells</t>
  </si>
  <si>
    <t xml:space="preserve">Sub WriteNumbers()
    Dim i As Integer
    For i = 1 To 10
        Cells(i, 1).Value = i
        Cells(i, 2).Value = i * i
    Next i
End Sub</t>
  </si>
  <si>
    <t xml:space="preserve">Writes 1-10 in column A and their squares in column B</t>
  </si>
  <si>
    <t xml:space="preserve">TASK 8: Security Considerations — Critical Rules for Safe Macro Use</t>
  </si>
  <si>
    <t xml:space="preserve">Risk / Best Practice</t>
  </si>
  <si>
    <t xml:space="preserve">Details &amp; Guidance</t>
  </si>
  <si>
    <t xml:space="preserve">Never enable macros
from unknown sources</t>
  </si>
  <si>
    <t xml:space="preserve">Macros from untrusted emails or downloads can contain malware. Only enable macros in files YOU created or received from a trusted colleague.</t>
  </si>
  <si>
    <t xml:space="preserve">Set Macro Security Level</t>
  </si>
  <si>
    <t xml:space="preserve">File → Options → Trust Center → Trust Center Settings → Macro Settings. Best setting: "Disable all macros with notification" — Excel asks each time.</t>
  </si>
  <si>
    <t xml:space="preserve">Digital Signatures</t>
  </si>
  <si>
    <t xml:space="preserve">Organizations can code-sign macros with a certificate. Signed macros from trusted publishers run without prompts. Used for enterprise automation.</t>
  </si>
  <si>
    <t xml:space="preserve">Review Code Before Running</t>
  </si>
  <si>
    <t xml:space="preserve">Open VBA Editor (Alt+F11) and read the code. Red flags: "Shell", "WScript.Run", "CreateObject(""Scripting.FileSystemObject"")" — these can access your file system.</t>
  </si>
  <si>
    <t xml:space="preserve">Save to Personal Macro Workbook</t>
  </si>
  <si>
    <t xml:space="preserve">Developer → Record Macro → Store in: Personal Macro Workbook (PERSONAL.XLSB). Macros saved here are available in every workbook you open, not just the current one.</t>
  </si>
  <si>
    <t xml:space="preserve">Running a Macro in Different Ways</t>
  </si>
  <si>
    <t xml:space="preserve">• Developer → Macros → Run
• Keyboard shortcut (assigned when recording)
• Button on worksheet (Developer → Insert → Form Control Button)
• Automatically on Workbook_Open (in ThisWorkbook module)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</si>
</sst>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\$#,##0.00"/>
    <numFmt numFmtId="166" formatCode="General"/>
    <numFmt numFmtId="167" formatCode="0"/>
    <numFmt numFmtId="168" formatCode="0.00%"/>
    <numFmt numFmtId="169" formatCode="0%"/>
    <numFmt numFmtId="170" formatCode="\$#,##0.00"/>
    <numFmt numFmtId="171" formatCode="#,##0,\K"/>
    <numFmt numFmtId="172" formatCode="\$#,##0.00;[RED]&quot;-$&quot;#,##0.00"/>
    <numFmt numFmtId="173" formatCode="#,##0.00"/>
    <numFmt numFmtId="174" formatCode="0.00E+00"/>
    <numFmt numFmtId="175" formatCode="#,##0"/>
    <numFmt numFmtId="176" formatCode="_(\$* #,##0.00_)"/>
    <numFmt numFmtId="177" formatCode="dd\-mmm\-yyyy"/>
    <numFmt numFmtId="178" formatCode="mm/dd/yy"/>
    <numFmt numFmtId="179" formatCode="mm/dd/yy\ hh:mm\ AM/PM"/>
    <numFmt numFmtId="180" formatCode="0.00"/>
    <numFmt numFmtId="181" formatCode="#,##0.0"/>
    <numFmt numFmtId="182" formatCode="0.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1F4E79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sz val="10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10"/>
      <color rgb="FF7030A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sz val="9"/>
      <color rgb="FF1F4E79"/>
      <name val="Courier New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EF3FB"/>
      </patternFill>
    </fill>
    <fill>
      <patternFill patternType="solid">
        <fgColor rgb="FFBDD7EE"/>
        <bgColor rgb="FFC6EFCE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E9E9"/>
      </patternFill>
    </fill>
    <fill>
      <patternFill patternType="solid">
        <fgColor rgb="FF70AD47"/>
        <bgColor rgb="FF339966"/>
      </patternFill>
    </fill>
    <fill>
      <patternFill patternType="solid">
        <fgColor rgb="FFC6EFCE"/>
        <bgColor rgb="FFE2EFDA"/>
      </patternFill>
    </fill>
    <fill>
      <patternFill patternType="solid">
        <fgColor rgb="FFED7D31"/>
        <bgColor rgb="FFFF7070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EAD1DC"/>
      </patternFill>
    </fill>
    <fill>
      <patternFill patternType="solid">
        <fgColor rgb="FF1F4E79"/>
        <bgColor rgb="FF2E4057"/>
      </patternFill>
    </fill>
    <fill>
      <patternFill patternType="solid">
        <fgColor rgb="FFDEEAF1"/>
        <bgColor rgb="FFE2EFDA"/>
      </patternFill>
    </fill>
    <fill>
      <patternFill patternType="solid">
        <fgColor rgb="FF375623"/>
        <bgColor rgb="FF555555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ED7D31"/>
      </patternFill>
    </fill>
    <fill>
      <patternFill patternType="solid">
        <fgColor rgb="FFE2EFDA"/>
        <bgColor rgb="FFDEEAF1"/>
      </patternFill>
    </fill>
    <fill>
      <patternFill patternType="solid">
        <fgColor rgb="FFFFD966"/>
        <bgColor rgb="FFFFEB9C"/>
      </patternFill>
    </fill>
    <fill>
      <patternFill patternType="solid">
        <fgColor rgb="FFFF7070"/>
        <bgColor rgb="FFED7D31"/>
      </patternFill>
    </fill>
    <fill>
      <patternFill patternType="solid">
        <fgColor rgb="FFEAD1DC"/>
        <bgColor rgb="FFFFC7CE"/>
      </patternFill>
    </fill>
    <fill>
      <patternFill patternType="solid">
        <fgColor rgb="FFFFDEDE"/>
        <bgColor rgb="FFFFE9E9"/>
      </patternFill>
    </fill>
    <fill>
      <patternFill patternType="solid">
        <fgColor rgb="FFEEF3FB"/>
        <bgColor rgb="FFF2F2F2"/>
      </patternFill>
    </fill>
    <fill>
      <patternFill patternType="solid">
        <fgColor rgb="FFC00000"/>
        <bgColor rgb="FFCC0000"/>
      </patternFill>
    </fill>
    <fill>
      <patternFill patternType="solid">
        <fgColor rgb="FFFFE9E9"/>
        <bgColor rgb="FFFFDED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5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7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5" fillId="1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4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4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7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4" fillId="1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1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5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4" fillId="7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4" fillId="1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15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1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1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C0000"/>
      </font>
      <fill>
        <patternFill>
          <bgColor rgb="FFFFC7C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E9E9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555555"/>
      <rgbColor rgb="FF9999FF"/>
      <rgbColor rgb="FF7030A0"/>
      <rgbColor rgb="FFFFF2CC"/>
      <rgbColor rgb="FFDEEAF1"/>
      <rgbColor rgb="FF660066"/>
      <rgbColor rgb="FFFF7070"/>
      <rgbColor rgb="FF0066CC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F3FB"/>
      <rgbColor rgb="FFC6EFCE"/>
      <rgbColor rgb="FFFFEB9C"/>
      <rgbColor rgb="FFE2EFDA"/>
      <rgbColor rgb="FFEAD1DC"/>
      <rgbColor rgb="FFFFDEDE"/>
      <rgbColor rgb="FFFFC7CE"/>
      <rgbColor rgb="FF2E75B6"/>
      <rgbColor rgb="FF33CCCC"/>
      <rgbColor rgb="FF99CC00"/>
      <rgbColor rgb="FFFFD966"/>
      <rgbColor rgb="FFFF9900"/>
      <rgbColor rgb="FFED7D31"/>
      <rgbColor rgb="FF595959"/>
      <rgbColor rgb="FF70AD47"/>
      <rgbColor rgb="FF1F3864"/>
      <rgbColor rgb="FF339966"/>
      <rgbColor rgb="FF003300"/>
      <rgbColor rgb="FF375623"/>
      <rgbColor rgb="FFC55A11"/>
      <rgbColor rgb="FF993366"/>
      <rgbColor rgb="FF1F4E7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8" min="7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30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27.75" hidden="false" customHeight="true" outlineLevel="0" collapsed="false">
      <c r="A4" s="4" t="s">
        <v>2</v>
      </c>
      <c r="B4" s="4" t="s">
        <v>3</v>
      </c>
      <c r="D4" s="5" t="s">
        <v>4</v>
      </c>
      <c r="E4" s="5"/>
      <c r="F4" s="5"/>
    </row>
    <row r="5" customFormat="false" ht="15" hidden="false" customHeight="true" outlineLevel="0" collapsed="false">
      <c r="A5" s="6" t="s">
        <v>5</v>
      </c>
      <c r="B5" s="7" t="n">
        <v>43971.374</v>
      </c>
      <c r="D5" s="8" t="s">
        <v>6</v>
      </c>
      <c r="E5" s="9" t="n">
        <f aca="false">SUM(B5:B16)</f>
        <v>733215.2552</v>
      </c>
      <c r="F5" s="10" t="n">
        <f aca="false">SUM(B5:B16)</f>
        <v>733215.2552</v>
      </c>
    </row>
    <row r="6" customFormat="false" ht="15" hidden="false" customHeight="true" outlineLevel="0" collapsed="false">
      <c r="A6" s="11" t="s">
        <v>7</v>
      </c>
      <c r="B6" s="12" t="n">
        <v>20301.1334</v>
      </c>
      <c r="D6" s="8" t="s">
        <v>8</v>
      </c>
      <c r="E6" s="9" t="n">
        <f aca="false">MAX(B5:B16)</f>
        <v>118447.825</v>
      </c>
      <c r="F6" s="10" t="n">
        <f aca="false">MAX(B5:B16)</f>
        <v>118447.825</v>
      </c>
    </row>
    <row r="7" customFormat="false" ht="15" hidden="false" customHeight="true" outlineLevel="0" collapsed="false">
      <c r="A7" s="6" t="s">
        <v>9</v>
      </c>
      <c r="B7" s="7" t="n">
        <v>58872.3528</v>
      </c>
      <c r="D7" s="8" t="s">
        <v>10</v>
      </c>
      <c r="E7" s="9" t="n">
        <f aca="false">MIN(B5:B16)</f>
        <v>20301.1334</v>
      </c>
      <c r="F7" s="10" t="n">
        <f aca="false">MIN(B5:B16)</f>
        <v>20301.1334</v>
      </c>
    </row>
    <row r="8" customFormat="false" ht="15" hidden="false" customHeight="true" outlineLevel="0" collapsed="false">
      <c r="A8" s="11" t="s">
        <v>11</v>
      </c>
      <c r="B8" s="12" t="n">
        <v>36521.5361</v>
      </c>
      <c r="D8" s="8" t="s">
        <v>12</v>
      </c>
      <c r="E8" s="9" t="n">
        <f aca="false">SMALL(B5:B16,2)</f>
        <v>36521.5361</v>
      </c>
      <c r="F8" s="13" t="n">
        <f aca="false">SMALL(B5:B16,2)</f>
        <v>36521.5361</v>
      </c>
    </row>
    <row r="9" customFormat="false" ht="15" hidden="false" customHeight="true" outlineLevel="0" collapsed="false">
      <c r="A9" s="6" t="s">
        <v>13</v>
      </c>
      <c r="B9" s="7" t="n">
        <v>44261.1102</v>
      </c>
      <c r="D9" s="8" t="s">
        <v>14</v>
      </c>
      <c r="E9" s="9" t="n">
        <f aca="false">LARGE(B5:B16,3)</f>
        <v>83829.3188</v>
      </c>
      <c r="F9" s="13" t="n">
        <f aca="false">LARGE(B5:B16,3)</f>
        <v>83829.3188</v>
      </c>
    </row>
    <row r="10" customFormat="false" ht="15" hidden="false" customHeight="true" outlineLevel="0" collapsed="false">
      <c r="A10" s="11" t="s">
        <v>15</v>
      </c>
      <c r="B10" s="12" t="n">
        <v>52981.7257</v>
      </c>
      <c r="D10" s="8" t="s">
        <v>16</v>
      </c>
      <c r="E10" s="9" t="n">
        <f aca="false">MEDIAN(B5:B16)</f>
        <v>55927.03925</v>
      </c>
      <c r="F10" s="13" t="n">
        <f aca="false">MEDIAN(B5:B16)</f>
        <v>55927.03925</v>
      </c>
    </row>
    <row r="11" customFormat="false" ht="15" hidden="false" customHeight="true" outlineLevel="0" collapsed="false">
      <c r="A11" s="6" t="s">
        <v>17</v>
      </c>
      <c r="B11" s="7" t="n">
        <v>45264.416</v>
      </c>
      <c r="D11" s="8" t="s">
        <v>18</v>
      </c>
      <c r="E11" s="9" t="n">
        <f aca="false">AVERAGE(B5:B16)</f>
        <v>61101.2712666667</v>
      </c>
      <c r="F11" s="10" t="n">
        <f aca="false">AVERAGE(B5:B16)</f>
        <v>61101.2712666667</v>
      </c>
    </row>
    <row r="12" customFormat="false" ht="15" hidden="false" customHeight="true" outlineLevel="0" collapsed="false">
      <c r="A12" s="11" t="s">
        <v>19</v>
      </c>
      <c r="B12" s="12" t="n">
        <v>63120.888</v>
      </c>
      <c r="D12" s="8" t="s">
        <v>20</v>
      </c>
      <c r="E12" s="9" t="n">
        <f aca="false">COUNT(B5:B16)</f>
        <v>12</v>
      </c>
      <c r="F12" s="13" t="n">
        <f aca="false">COUNT(B5:B16)</f>
        <v>12</v>
      </c>
    </row>
    <row r="13" customFormat="false" ht="15" hidden="false" customHeight="true" outlineLevel="0" collapsed="false">
      <c r="A13" s="6" t="s">
        <v>21</v>
      </c>
      <c r="B13" s="7" t="n">
        <v>87866.652</v>
      </c>
    </row>
    <row r="14" customFormat="false" ht="15" hidden="false" customHeight="true" outlineLevel="0" collapsed="false">
      <c r="A14" s="11" t="s">
        <v>22</v>
      </c>
      <c r="B14" s="12" t="n">
        <v>77776.9232</v>
      </c>
    </row>
    <row r="15" customFormat="false" ht="15" hidden="false" customHeight="true" outlineLevel="0" collapsed="false">
      <c r="A15" s="6" t="s">
        <v>23</v>
      </c>
      <c r="B15" s="7" t="n">
        <v>118447.825</v>
      </c>
    </row>
    <row r="16" customFormat="false" ht="15" hidden="false" customHeight="true" outlineLevel="0" collapsed="false">
      <c r="A16" s="11" t="s">
        <v>24</v>
      </c>
      <c r="B16" s="12" t="n">
        <v>83829.3188</v>
      </c>
    </row>
    <row r="19" customFormat="false" ht="30" hidden="false" customHeight="true" outlineLevel="0" collapsed="false">
      <c r="A19" s="3" t="s">
        <v>25</v>
      </c>
      <c r="B19" s="3"/>
      <c r="C19" s="3"/>
      <c r="D19" s="3"/>
      <c r="E19" s="3"/>
      <c r="F19" s="3"/>
      <c r="G19" s="3"/>
      <c r="H19" s="3"/>
    </row>
    <row r="20" customFormat="false" ht="27.75" hidden="false" customHeight="true" outlineLevel="0" collapsed="false">
      <c r="A20" s="4" t="s">
        <v>5</v>
      </c>
      <c r="B20" s="4" t="s">
        <v>7</v>
      </c>
      <c r="C20" s="4" t="s">
        <v>9</v>
      </c>
      <c r="D20" s="4" t="s">
        <v>11</v>
      </c>
      <c r="E20" s="4" t="s">
        <v>13</v>
      </c>
      <c r="F20" s="4" t="s">
        <v>15</v>
      </c>
      <c r="G20" s="4" t="s">
        <v>17</v>
      </c>
      <c r="H20" s="4" t="s">
        <v>19</v>
      </c>
      <c r="I20" s="4" t="s">
        <v>21</v>
      </c>
      <c r="J20" s="4" t="s">
        <v>22</v>
      </c>
      <c r="K20" s="4" t="s">
        <v>23</v>
      </c>
      <c r="L20" s="4" t="s">
        <v>24</v>
      </c>
    </row>
    <row r="21" customFormat="false" ht="15" hidden="false" customHeight="true" outlineLevel="0" collapsed="false">
      <c r="A21" s="14" t="n">
        <v>43971.374</v>
      </c>
      <c r="B21" s="14" t="n">
        <v>20301.1334</v>
      </c>
      <c r="C21" s="14" t="n">
        <v>58872.3528</v>
      </c>
      <c r="D21" s="14" t="n">
        <v>36521.5361</v>
      </c>
      <c r="E21" s="14" t="n">
        <v>44261.1102</v>
      </c>
      <c r="F21" s="14" t="n">
        <v>52981.7257</v>
      </c>
      <c r="G21" s="14" t="n">
        <v>45264.416</v>
      </c>
      <c r="H21" s="14" t="n">
        <v>63120.888</v>
      </c>
      <c r="I21" s="14" t="n">
        <v>87866.652</v>
      </c>
      <c r="J21" s="14" t="n">
        <v>77776.9232</v>
      </c>
      <c r="K21" s="14" t="n">
        <v>118447.825</v>
      </c>
      <c r="L21" s="14" t="n">
        <v>83829.3188</v>
      </c>
    </row>
    <row r="22" customFormat="false" ht="15" hidden="false" customHeight="true" outlineLevel="0" collapsed="false">
      <c r="A22" s="15" t="s">
        <v>26</v>
      </c>
      <c r="B22" s="15"/>
      <c r="C22" s="15"/>
      <c r="D22" s="15"/>
      <c r="E22" s="15"/>
      <c r="F22" s="15"/>
      <c r="G22" s="15"/>
      <c r="H22" s="15"/>
    </row>
    <row r="24" customFormat="false" ht="30" hidden="false" customHeight="true" outlineLevel="0" collapsed="false">
      <c r="A24" s="3" t="s">
        <v>27</v>
      </c>
      <c r="B24" s="3"/>
      <c r="C24" s="3"/>
      <c r="D24" s="3"/>
      <c r="E24" s="3"/>
      <c r="F24" s="3"/>
      <c r="G24" s="3"/>
      <c r="H24" s="3"/>
    </row>
    <row r="25" customFormat="false" ht="27.75" hidden="false" customHeight="true" outlineLevel="0" collapsed="false">
      <c r="A25" s="4" t="s">
        <v>28</v>
      </c>
      <c r="B25" s="4" t="s">
        <v>3</v>
      </c>
      <c r="C25" s="4" t="s">
        <v>29</v>
      </c>
      <c r="E25" s="5" t="s">
        <v>30</v>
      </c>
      <c r="F25" s="5"/>
      <c r="G25" s="5"/>
    </row>
    <row r="26" customFormat="false" ht="15" hidden="false" customHeight="true" outlineLevel="0" collapsed="false">
      <c r="A26" s="16" t="s">
        <v>31</v>
      </c>
      <c r="B26" s="7" t="n">
        <v>45</v>
      </c>
      <c r="C26" s="16" t="s">
        <v>32</v>
      </c>
      <c r="E26" s="8" t="s">
        <v>33</v>
      </c>
      <c r="F26" s="17" t="n">
        <f aca="false">COUNT(B26:B33)</f>
        <v>6</v>
      </c>
      <c r="G26" s="18" t="n">
        <f aca="false">COUNT(B26:B33)</f>
        <v>6</v>
      </c>
    </row>
    <row r="27" customFormat="false" ht="15" hidden="false" customHeight="true" outlineLevel="0" collapsed="false">
      <c r="A27" s="19" t="s">
        <v>34</v>
      </c>
      <c r="B27" s="12" t="n">
        <v>350</v>
      </c>
      <c r="C27" s="19"/>
      <c r="E27" s="8" t="s">
        <v>35</v>
      </c>
      <c r="F27" s="17" t="n">
        <f aca="false">COUNTA(A26:A33)</f>
        <v>8</v>
      </c>
      <c r="G27" s="18" t="n">
        <f aca="false">COUNTA(A26:A33)</f>
        <v>8</v>
      </c>
    </row>
    <row r="28" customFormat="false" ht="15" hidden="false" customHeight="true" outlineLevel="0" collapsed="false">
      <c r="A28" s="16" t="s">
        <v>36</v>
      </c>
      <c r="B28" s="7"/>
      <c r="C28" s="16" t="s">
        <v>37</v>
      </c>
      <c r="E28" s="8" t="s">
        <v>38</v>
      </c>
      <c r="F28" s="17" t="n">
        <f aca="false">COUNTBLANK(B26:B33)</f>
        <v>2</v>
      </c>
      <c r="G28" s="18" t="n">
        <f aca="false">COUNTBLANK(B26:B33)</f>
        <v>2</v>
      </c>
    </row>
    <row r="29" customFormat="false" ht="15" hidden="false" customHeight="true" outlineLevel="0" collapsed="false">
      <c r="A29" s="19" t="s">
        <v>39</v>
      </c>
      <c r="B29" s="12" t="n">
        <v>12.5</v>
      </c>
      <c r="C29" s="19" t="s">
        <v>32</v>
      </c>
      <c r="E29" s="8" t="s">
        <v>40</v>
      </c>
      <c r="F29" s="17" t="n">
        <f aca="false">COUNTBLANK(C26:C33)</f>
        <v>2</v>
      </c>
      <c r="G29" s="18" t="n">
        <f aca="false">COUNTBLANK(C26:C33)</f>
        <v>2</v>
      </c>
    </row>
    <row r="30" customFormat="false" ht="15" hidden="false" customHeight="true" outlineLevel="0" collapsed="false">
      <c r="A30" s="16" t="s">
        <v>41</v>
      </c>
      <c r="B30" s="7" t="n">
        <v>480</v>
      </c>
      <c r="C30" s="16"/>
    </row>
    <row r="31" customFormat="false" ht="15" hidden="false" customHeight="true" outlineLevel="0" collapsed="false">
      <c r="A31" s="19" t="s">
        <v>42</v>
      </c>
      <c r="B31" s="12"/>
      <c r="C31" s="19" t="s">
        <v>32</v>
      </c>
    </row>
    <row r="32" customFormat="false" ht="15" hidden="false" customHeight="true" outlineLevel="0" collapsed="false">
      <c r="A32" s="16" t="s">
        <v>43</v>
      </c>
      <c r="B32" s="7" t="n">
        <v>95</v>
      </c>
      <c r="C32" s="16" t="s">
        <v>32</v>
      </c>
    </row>
    <row r="33" customFormat="false" ht="15" hidden="false" customHeight="true" outlineLevel="0" collapsed="false">
      <c r="A33" s="19" t="s">
        <v>44</v>
      </c>
      <c r="B33" s="12" t="n">
        <v>75</v>
      </c>
      <c r="C33" s="19" t="s">
        <v>37</v>
      </c>
    </row>
    <row r="35" customFormat="false" ht="30" hidden="false" customHeight="true" outlineLevel="0" collapsed="false">
      <c r="A35" s="3" t="s">
        <v>45</v>
      </c>
      <c r="B35" s="3"/>
      <c r="C35" s="3"/>
      <c r="D35" s="3"/>
      <c r="E35" s="3"/>
      <c r="F35" s="3"/>
      <c r="G35" s="3"/>
      <c r="H35" s="3"/>
    </row>
    <row r="36" customFormat="false" ht="27.75" hidden="false" customHeight="true" outlineLevel="0" collapsed="false">
      <c r="A36" s="4" t="s">
        <v>46</v>
      </c>
      <c r="B36" s="4" t="s">
        <v>47</v>
      </c>
      <c r="C36" s="4" t="s">
        <v>48</v>
      </c>
      <c r="D36" s="4" t="s">
        <v>49</v>
      </c>
      <c r="E36" s="4"/>
    </row>
    <row r="37" customFormat="false" ht="15" hidden="false" customHeight="true" outlineLevel="0" collapsed="false">
      <c r="A37" s="20" t="n">
        <v>2014</v>
      </c>
      <c r="B37" s="7" t="n">
        <v>484247.4981</v>
      </c>
      <c r="C37" s="6" t="s">
        <v>50</v>
      </c>
      <c r="D37" s="17" t="s">
        <v>51</v>
      </c>
    </row>
    <row r="38" customFormat="false" ht="15" hidden="false" customHeight="true" outlineLevel="0" collapsed="false">
      <c r="A38" s="21" t="n">
        <v>2015</v>
      </c>
      <c r="B38" s="12" t="n">
        <v>470532.509</v>
      </c>
      <c r="C38" s="22" t="n">
        <f aca="false">(B38-B37)/B37</f>
        <v>-0.0283222714702963</v>
      </c>
      <c r="D38" s="23" t="n">
        <f aca="false">(B38-B37)/B37</f>
        <v>-0.0283222714702963</v>
      </c>
    </row>
    <row r="39" customFormat="false" ht="15" hidden="false" customHeight="true" outlineLevel="0" collapsed="false">
      <c r="A39" s="20" t="n">
        <v>2016</v>
      </c>
      <c r="B39" s="7" t="n">
        <v>609205.598</v>
      </c>
      <c r="C39" s="22" t="n">
        <f aca="false">(B39-B38)/B38</f>
        <v>0.294715213821709</v>
      </c>
      <c r="D39" s="24" t="n">
        <f aca="false">(B39-B38)/B38</f>
        <v>0.294715213821709</v>
      </c>
    </row>
    <row r="40" customFormat="false" ht="15" hidden="false" customHeight="true" outlineLevel="0" collapsed="false">
      <c r="A40" s="21" t="n">
        <v>2017</v>
      </c>
      <c r="B40" s="12" t="n">
        <v>733215.2552</v>
      </c>
      <c r="C40" s="22" t="n">
        <f aca="false">(B40-B39)/B39</f>
        <v>0.20355961535337</v>
      </c>
      <c r="D40" s="23" t="n">
        <f aca="false">(B40-B39)/B39</f>
        <v>0.20355961535337</v>
      </c>
    </row>
    <row r="41" customFormat="false" ht="15" hidden="false" customHeight="true" outlineLevel="0" collapsed="false">
      <c r="A41" s="25" t="s">
        <v>52</v>
      </c>
      <c r="B41" s="25"/>
      <c r="C41" s="26" t="n">
        <f aca="false">POWER(B40/B37,1/3)-1</f>
        <v>0.148298248059146</v>
      </c>
      <c r="D41" s="13" t="s">
        <v>53</v>
      </c>
    </row>
  </sheetData>
  <mergeCells count="9">
    <mergeCell ref="A1:H1"/>
    <mergeCell ref="A3:H3"/>
    <mergeCell ref="D4:F4"/>
    <mergeCell ref="A19:H19"/>
    <mergeCell ref="A22:H22"/>
    <mergeCell ref="A24:H24"/>
    <mergeCell ref="E25:G25"/>
    <mergeCell ref="A35:H35"/>
    <mergeCell ref="A41:B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9" min="4" style="1" width="15"/>
  </cols>
  <sheetData>
    <row r="1" customFormat="false" ht="30" hidden="false" customHeight="true" outlineLevel="0" collapsed="false">
      <c r="A1" s="2" t="s">
        <v>54</v>
      </c>
      <c r="B1" s="2"/>
      <c r="C1" s="2"/>
      <c r="D1" s="2"/>
      <c r="E1" s="2"/>
      <c r="F1" s="2"/>
      <c r="G1" s="2"/>
      <c r="H1" s="2"/>
      <c r="I1" s="2"/>
    </row>
    <row r="3" customFormat="false" ht="30" hidden="false" customHeight="true" outlineLevel="0" collapsed="false">
      <c r="A3" s="3" t="s">
        <v>55</v>
      </c>
      <c r="B3" s="3"/>
      <c r="C3" s="3"/>
      <c r="D3" s="3"/>
      <c r="E3" s="3"/>
      <c r="F3" s="3"/>
      <c r="G3" s="3"/>
      <c r="H3" s="3"/>
      <c r="I3" s="3"/>
    </row>
    <row r="4" customFormat="false" ht="27.75" hidden="false" customHeight="true" outlineLevel="0" collapsed="false">
      <c r="A4" s="4" t="s">
        <v>56</v>
      </c>
      <c r="B4" s="4" t="s">
        <v>29</v>
      </c>
      <c r="C4" s="4" t="s">
        <v>57</v>
      </c>
      <c r="D4" s="4" t="s">
        <v>3</v>
      </c>
      <c r="E4" s="4" t="s">
        <v>58</v>
      </c>
      <c r="F4" s="4" t="s">
        <v>59</v>
      </c>
      <c r="G4" s="4" t="s">
        <v>60</v>
      </c>
      <c r="H4" s="4" t="s">
        <v>61</v>
      </c>
      <c r="I4" s="4" t="s">
        <v>62</v>
      </c>
    </row>
    <row r="5" customFormat="false" ht="15" hidden="false" customHeight="true" outlineLevel="0" collapsed="false">
      <c r="A5" s="16" t="s">
        <v>63</v>
      </c>
      <c r="B5" s="6" t="s">
        <v>37</v>
      </c>
      <c r="C5" s="6" t="s">
        <v>64</v>
      </c>
      <c r="D5" s="27" t="n">
        <v>22638.48</v>
      </c>
      <c r="E5" s="7" t="n">
        <v>-1811.0784</v>
      </c>
      <c r="F5" s="6" t="n">
        <v>6</v>
      </c>
      <c r="G5" s="28" t="n">
        <v>0.5</v>
      </c>
      <c r="H5" s="29" t="n">
        <f aca="false">E5/D5</f>
        <v>-0.08</v>
      </c>
      <c r="I5" s="30" t="s">
        <v>65</v>
      </c>
    </row>
    <row r="6" customFormat="false" ht="15" hidden="false" customHeight="true" outlineLevel="0" collapsed="false">
      <c r="A6" s="19" t="s">
        <v>66</v>
      </c>
      <c r="B6" s="11" t="s">
        <v>37</v>
      </c>
      <c r="C6" s="11" t="s">
        <v>67</v>
      </c>
      <c r="D6" s="31" t="n">
        <v>17499.95</v>
      </c>
      <c r="E6" s="12" t="n">
        <v>8399.976</v>
      </c>
      <c r="F6" s="11" t="n">
        <v>5</v>
      </c>
      <c r="G6" s="32" t="n">
        <v>0</v>
      </c>
      <c r="H6" s="33" t="n">
        <f aca="false">E6/D6</f>
        <v>0.48</v>
      </c>
      <c r="I6" s="30" t="s">
        <v>65</v>
      </c>
    </row>
    <row r="7" customFormat="false" ht="15" hidden="false" customHeight="true" outlineLevel="0" collapsed="false">
      <c r="A7" s="16" t="s">
        <v>66</v>
      </c>
      <c r="B7" s="6" t="s">
        <v>37</v>
      </c>
      <c r="C7" s="6" t="s">
        <v>68</v>
      </c>
      <c r="D7" s="27" t="n">
        <v>13999.96</v>
      </c>
      <c r="E7" s="7" t="n">
        <v>6719.9808</v>
      </c>
      <c r="F7" s="6" t="n">
        <v>4</v>
      </c>
      <c r="G7" s="28" t="n">
        <v>0</v>
      </c>
      <c r="H7" s="29" t="n">
        <f aca="false">E7/D7</f>
        <v>0.48</v>
      </c>
      <c r="I7" s="30" t="s">
        <v>65</v>
      </c>
    </row>
    <row r="8" customFormat="false" ht="15" hidden="false" customHeight="true" outlineLevel="0" collapsed="false">
      <c r="A8" s="19" t="s">
        <v>66</v>
      </c>
      <c r="B8" s="11" t="s">
        <v>37</v>
      </c>
      <c r="C8" s="11" t="s">
        <v>69</v>
      </c>
      <c r="D8" s="31" t="n">
        <v>11199.968</v>
      </c>
      <c r="E8" s="12" t="n">
        <v>3919.9888</v>
      </c>
      <c r="F8" s="11" t="n">
        <v>4</v>
      </c>
      <c r="G8" s="32" t="n">
        <v>0.2</v>
      </c>
      <c r="H8" s="33" t="n">
        <f aca="false">E8/D8</f>
        <v>0.35</v>
      </c>
      <c r="I8" s="30" t="s">
        <v>65</v>
      </c>
    </row>
    <row r="9" customFormat="false" ht="15" hidden="false" customHeight="true" outlineLevel="0" collapsed="false">
      <c r="A9" s="16" t="s">
        <v>66</v>
      </c>
      <c r="B9" s="6" t="s">
        <v>37</v>
      </c>
      <c r="C9" s="6" t="s">
        <v>69</v>
      </c>
      <c r="D9" s="27" t="n">
        <v>10499.97</v>
      </c>
      <c r="E9" s="7" t="n">
        <v>5039.9856</v>
      </c>
      <c r="F9" s="6" t="n">
        <v>3</v>
      </c>
      <c r="G9" s="28" t="n">
        <v>0</v>
      </c>
      <c r="H9" s="29" t="n">
        <f aca="false">E9/D9</f>
        <v>0.48</v>
      </c>
      <c r="I9" s="30" t="s">
        <v>65</v>
      </c>
    </row>
    <row r="10" customFormat="false" ht="15" hidden="false" customHeight="true" outlineLevel="0" collapsed="false">
      <c r="A10" s="19" t="s">
        <v>70</v>
      </c>
      <c r="B10" s="11" t="s">
        <v>32</v>
      </c>
      <c r="C10" s="11" t="s">
        <v>67</v>
      </c>
      <c r="D10" s="31" t="n">
        <v>9892.74</v>
      </c>
      <c r="E10" s="12" t="n">
        <v>4946.37</v>
      </c>
      <c r="F10" s="11" t="n">
        <v>13</v>
      </c>
      <c r="G10" s="32" t="n">
        <v>0</v>
      </c>
      <c r="H10" s="33" t="n">
        <f aca="false">E10/D10</f>
        <v>0.5</v>
      </c>
      <c r="I10" s="30" t="s">
        <v>65</v>
      </c>
    </row>
    <row r="11" customFormat="false" ht="15" hidden="false" customHeight="true" outlineLevel="0" collapsed="false">
      <c r="A11" s="16" t="s">
        <v>71</v>
      </c>
      <c r="B11" s="6" t="s">
        <v>32</v>
      </c>
      <c r="C11" s="6" t="s">
        <v>67</v>
      </c>
      <c r="D11" s="27" t="n">
        <v>9449.95</v>
      </c>
      <c r="E11" s="7" t="n">
        <v>4630.4755</v>
      </c>
      <c r="F11" s="6" t="n">
        <v>5</v>
      </c>
      <c r="G11" s="28" t="n">
        <v>0</v>
      </c>
      <c r="H11" s="29" t="n">
        <f aca="false">E11/D11</f>
        <v>0.49</v>
      </c>
      <c r="I11" s="30" t="s">
        <v>65</v>
      </c>
    </row>
    <row r="12" customFormat="false" ht="15" hidden="false" customHeight="true" outlineLevel="0" collapsed="false">
      <c r="A12" s="19" t="s">
        <v>72</v>
      </c>
      <c r="B12" s="11" t="s">
        <v>37</v>
      </c>
      <c r="C12" s="11" t="s">
        <v>69</v>
      </c>
      <c r="D12" s="31" t="n">
        <v>9099.93</v>
      </c>
      <c r="E12" s="12" t="n">
        <v>2365.9818</v>
      </c>
      <c r="F12" s="11" t="n">
        <v>7</v>
      </c>
      <c r="G12" s="32" t="n">
        <v>0</v>
      </c>
      <c r="H12" s="33" t="n">
        <f aca="false">E12/D12</f>
        <v>0.26</v>
      </c>
      <c r="I12" s="30" t="s">
        <v>65</v>
      </c>
    </row>
    <row r="13" customFormat="false" ht="15" hidden="false" customHeight="true" outlineLevel="0" collapsed="false">
      <c r="A13" s="16" t="s">
        <v>73</v>
      </c>
      <c r="B13" s="6" t="s">
        <v>37</v>
      </c>
      <c r="C13" s="6" t="s">
        <v>64</v>
      </c>
      <c r="D13" s="27" t="n">
        <v>8749.95</v>
      </c>
      <c r="E13" s="7" t="n">
        <v>2799.984</v>
      </c>
      <c r="F13" s="6" t="n">
        <v>5</v>
      </c>
      <c r="G13" s="28" t="n">
        <v>0</v>
      </c>
      <c r="H13" s="29" t="n">
        <f aca="false">E13/D13</f>
        <v>0.32</v>
      </c>
      <c r="I13" s="30" t="s">
        <v>65</v>
      </c>
    </row>
    <row r="14" customFormat="false" ht="15" hidden="false" customHeight="true" outlineLevel="0" collapsed="false">
      <c r="A14" s="19" t="s">
        <v>66</v>
      </c>
      <c r="B14" s="11" t="s">
        <v>37</v>
      </c>
      <c r="C14" s="11" t="s">
        <v>69</v>
      </c>
      <c r="D14" s="31" t="n">
        <v>8399.976</v>
      </c>
      <c r="E14" s="12" t="n">
        <v>1119.9968</v>
      </c>
      <c r="F14" s="11" t="n">
        <v>4</v>
      </c>
      <c r="G14" s="32" t="n">
        <v>0.4</v>
      </c>
      <c r="H14" s="33" t="n">
        <f aca="false">E14/D14</f>
        <v>0.133333333333333</v>
      </c>
      <c r="I14" s="30" t="s">
        <v>65</v>
      </c>
    </row>
    <row r="15" customFormat="false" ht="15" hidden="false" customHeight="true" outlineLevel="0" collapsed="false">
      <c r="A15" s="16" t="s">
        <v>74</v>
      </c>
      <c r="B15" s="6" t="s">
        <v>32</v>
      </c>
      <c r="C15" s="6" t="s">
        <v>68</v>
      </c>
      <c r="D15" s="27" t="n">
        <v>8187.65</v>
      </c>
      <c r="E15" s="7" t="n">
        <v>327.506</v>
      </c>
      <c r="F15" s="6" t="n">
        <v>5</v>
      </c>
      <c r="G15" s="28" t="n">
        <v>0</v>
      </c>
      <c r="H15" s="29" t="n">
        <f aca="false">E15/D15</f>
        <v>0.04</v>
      </c>
      <c r="I15" s="30" t="s">
        <v>65</v>
      </c>
    </row>
    <row r="16" customFormat="false" ht="15" hidden="false" customHeight="true" outlineLevel="0" collapsed="false">
      <c r="A16" s="19" t="s">
        <v>75</v>
      </c>
      <c r="B16" s="11" t="s">
        <v>37</v>
      </c>
      <c r="C16" s="11" t="s">
        <v>67</v>
      </c>
      <c r="D16" s="31" t="n">
        <v>8159.952</v>
      </c>
      <c r="E16" s="12" t="n">
        <v>-1359.992</v>
      </c>
      <c r="F16" s="11" t="n">
        <v>8</v>
      </c>
      <c r="G16" s="32" t="n">
        <v>0.4</v>
      </c>
      <c r="H16" s="33" t="n">
        <f aca="false">E16/D16</f>
        <v>-0.166666666666667</v>
      </c>
      <c r="I16" s="30" t="s">
        <v>65</v>
      </c>
    </row>
    <row r="17" customFormat="false" ht="15" hidden="false" customHeight="true" outlineLevel="0" collapsed="false">
      <c r="A17" s="16" t="s">
        <v>76</v>
      </c>
      <c r="B17" s="6" t="s">
        <v>37</v>
      </c>
      <c r="C17" s="6" t="s">
        <v>64</v>
      </c>
      <c r="D17" s="27" t="n">
        <v>7999.98</v>
      </c>
      <c r="E17" s="7" t="n">
        <v>-3839.9904</v>
      </c>
      <c r="F17" s="6" t="n">
        <v>4</v>
      </c>
      <c r="G17" s="28" t="n">
        <v>0.5</v>
      </c>
      <c r="H17" s="29" t="n">
        <f aca="false">E17/D17</f>
        <v>-0.48</v>
      </c>
      <c r="I17" s="30" t="s">
        <v>65</v>
      </c>
    </row>
    <row r="18" customFormat="false" ht="15" hidden="false" customHeight="true" outlineLevel="0" collapsed="false">
      <c r="A18" s="19" t="s">
        <v>73</v>
      </c>
      <c r="B18" s="11" t="s">
        <v>37</v>
      </c>
      <c r="C18" s="11" t="s">
        <v>69</v>
      </c>
      <c r="D18" s="31" t="n">
        <v>6999.96</v>
      </c>
      <c r="E18" s="12" t="n">
        <v>2239.9872</v>
      </c>
      <c r="F18" s="11" t="n">
        <v>4</v>
      </c>
      <c r="G18" s="32" t="n">
        <v>0</v>
      </c>
      <c r="H18" s="33" t="n">
        <f aca="false">E18/D18</f>
        <v>0.32</v>
      </c>
      <c r="I18" s="30" t="s">
        <v>65</v>
      </c>
    </row>
    <row r="19" customFormat="false" ht="15" hidden="false" customHeight="true" outlineLevel="0" collapsed="false">
      <c r="A19" s="16" t="s">
        <v>77</v>
      </c>
      <c r="B19" s="6" t="s">
        <v>32</v>
      </c>
      <c r="C19" s="6" t="s">
        <v>64</v>
      </c>
      <c r="D19" s="27" t="n">
        <v>6354.95</v>
      </c>
      <c r="E19" s="7" t="n">
        <v>3177.475</v>
      </c>
      <c r="F19" s="6" t="n">
        <v>5</v>
      </c>
      <c r="G19" s="28" t="n">
        <v>0</v>
      </c>
      <c r="H19" s="29" t="n">
        <f aca="false">E19/D19</f>
        <v>0.5</v>
      </c>
      <c r="I19" s="30" t="s">
        <v>65</v>
      </c>
    </row>
    <row r="22" customFormat="false" ht="30" hidden="false" customHeight="true" outlineLevel="0" collapsed="false">
      <c r="A22" s="3" t="s">
        <v>78</v>
      </c>
      <c r="B22" s="3"/>
      <c r="C22" s="3"/>
      <c r="D22" s="3"/>
      <c r="E22" s="3"/>
      <c r="F22" s="3"/>
      <c r="G22" s="3"/>
      <c r="H22" s="3"/>
      <c r="I22" s="3"/>
    </row>
    <row r="23" customFormat="false" ht="27.75" hidden="false" customHeight="true" outlineLevel="0" collapsed="false">
      <c r="A23" s="4" t="s">
        <v>79</v>
      </c>
      <c r="B23" s="4" t="s">
        <v>80</v>
      </c>
      <c r="C23" s="4" t="s">
        <v>81</v>
      </c>
      <c r="D23" s="4" t="s">
        <v>82</v>
      </c>
      <c r="E23" s="4" t="s">
        <v>83</v>
      </c>
    </row>
    <row r="24" customFormat="false" ht="15" hidden="false" customHeight="true" outlineLevel="0" collapsed="false">
      <c r="A24" s="34" t="s">
        <v>84</v>
      </c>
      <c r="B24" s="35" t="n">
        <v>125000.456</v>
      </c>
      <c r="C24" s="36" t="n">
        <v>125000.456</v>
      </c>
      <c r="D24" s="37" t="s">
        <v>85</v>
      </c>
      <c r="E24" s="16" t="s">
        <v>86</v>
      </c>
    </row>
    <row r="25" customFormat="false" ht="15" hidden="false" customHeight="true" outlineLevel="0" collapsed="false">
      <c r="A25" s="38" t="s">
        <v>87</v>
      </c>
      <c r="B25" s="39" t="n">
        <v>0.1567</v>
      </c>
      <c r="C25" s="26" t="n">
        <v>0.1567</v>
      </c>
      <c r="D25" s="13" t="s">
        <v>88</v>
      </c>
      <c r="E25" s="19" t="s">
        <v>89</v>
      </c>
    </row>
    <row r="26" customFormat="false" ht="15" hidden="false" customHeight="true" outlineLevel="0" collapsed="false">
      <c r="A26" s="34" t="s">
        <v>90</v>
      </c>
      <c r="B26" s="35" t="n">
        <v>125000</v>
      </c>
      <c r="C26" s="40" t="n">
        <v>125000</v>
      </c>
      <c r="D26" s="37" t="s">
        <v>91</v>
      </c>
      <c r="E26" s="16" t="s">
        <v>92</v>
      </c>
    </row>
    <row r="27" customFormat="false" ht="15" hidden="false" customHeight="true" outlineLevel="0" collapsed="false">
      <c r="A27" s="38" t="s">
        <v>93</v>
      </c>
      <c r="B27" s="39" t="n">
        <v>-4500</v>
      </c>
      <c r="C27" s="41" t="n">
        <v>-4500</v>
      </c>
      <c r="D27" s="13" t="s">
        <v>94</v>
      </c>
      <c r="E27" s="19" t="s">
        <v>95</v>
      </c>
    </row>
    <row r="28" customFormat="false" ht="15" hidden="false" customHeight="true" outlineLevel="0" collapsed="false">
      <c r="A28" s="34" t="s">
        <v>96</v>
      </c>
      <c r="B28" s="35" t="n">
        <v>3456.789</v>
      </c>
      <c r="C28" s="42" t="n">
        <v>3456.789</v>
      </c>
      <c r="D28" s="37" t="s">
        <v>97</v>
      </c>
      <c r="E28" s="16" t="s">
        <v>98</v>
      </c>
    </row>
    <row r="29" customFormat="false" ht="15" hidden="false" customHeight="true" outlineLevel="0" collapsed="false">
      <c r="A29" s="38" t="s">
        <v>99</v>
      </c>
      <c r="B29" s="39" t="n">
        <v>1250000</v>
      </c>
      <c r="C29" s="43" t="n">
        <v>1250000</v>
      </c>
      <c r="D29" s="13" t="s">
        <v>100</v>
      </c>
      <c r="E29" s="19" t="s">
        <v>101</v>
      </c>
    </row>
    <row r="30" customFormat="false" ht="15" hidden="false" customHeight="true" outlineLevel="0" collapsed="false">
      <c r="A30" s="34" t="s">
        <v>102</v>
      </c>
      <c r="B30" s="35" t="n">
        <v>9876.54</v>
      </c>
      <c r="C30" s="44" t="n">
        <v>9876.54</v>
      </c>
      <c r="D30" s="37" t="s">
        <v>103</v>
      </c>
      <c r="E30" s="16" t="s">
        <v>104</v>
      </c>
    </row>
    <row r="31" customFormat="false" ht="15" hidden="false" customHeight="true" outlineLevel="0" collapsed="false">
      <c r="A31" s="38" t="s">
        <v>105</v>
      </c>
      <c r="B31" s="39" t="n">
        <v>75432.1</v>
      </c>
      <c r="C31" s="45" t="n">
        <v>75432.1</v>
      </c>
      <c r="D31" s="13" t="s">
        <v>106</v>
      </c>
      <c r="E31" s="19" t="s">
        <v>107</v>
      </c>
    </row>
    <row r="34" customFormat="false" ht="30" hidden="false" customHeight="true" outlineLevel="0" collapsed="false">
      <c r="A34" s="3" t="s">
        <v>108</v>
      </c>
      <c r="B34" s="3"/>
      <c r="C34" s="3"/>
      <c r="D34" s="3"/>
      <c r="E34" s="3"/>
      <c r="F34" s="3"/>
      <c r="G34" s="3"/>
      <c r="H34" s="3"/>
      <c r="I34" s="3"/>
    </row>
    <row r="35" customFormat="false" ht="15" hidden="false" customHeight="true" outlineLevel="0" collapsed="false">
      <c r="A35" s="46" t="s">
        <v>109</v>
      </c>
      <c r="B35" s="46"/>
      <c r="C35" s="46"/>
      <c r="D35" s="47" t="s">
        <v>110</v>
      </c>
      <c r="E35" s="47"/>
      <c r="F35" s="47"/>
      <c r="G35" s="47"/>
      <c r="H35" s="47"/>
      <c r="I35" s="47"/>
    </row>
    <row r="36" customFormat="false" ht="24" hidden="false" customHeight="true" outlineLevel="0" collapsed="false">
      <c r="A36" s="4" t="s">
        <v>28</v>
      </c>
      <c r="B36" s="4" t="s">
        <v>111</v>
      </c>
      <c r="C36" s="4" t="s">
        <v>112</v>
      </c>
    </row>
    <row r="37" customFormat="false" ht="48" hidden="false" customHeight="true" outlineLevel="0" collapsed="false">
      <c r="A37" s="48" t="s">
        <v>113</v>
      </c>
      <c r="B37" s="49" t="s">
        <v>114</v>
      </c>
      <c r="C37" s="50" t="s">
        <v>115</v>
      </c>
    </row>
    <row r="38" customFormat="false" ht="48" hidden="false" customHeight="true" outlineLevel="0" collapsed="false">
      <c r="A38" s="51" t="s">
        <v>116</v>
      </c>
      <c r="B38" s="52" t="s">
        <v>117</v>
      </c>
      <c r="C38" s="53" t="s">
        <v>118</v>
      </c>
    </row>
    <row r="39" customFormat="false" ht="48" hidden="false" customHeight="true" outlineLevel="0" collapsed="false">
      <c r="A39" s="48" t="s">
        <v>119</v>
      </c>
      <c r="B39" s="49" t="s">
        <v>120</v>
      </c>
      <c r="C39" s="54" t="s">
        <v>121</v>
      </c>
    </row>
  </sheetData>
  <mergeCells count="6">
    <mergeCell ref="A1:I1"/>
    <mergeCell ref="A3:I3"/>
    <mergeCell ref="A22:I22"/>
    <mergeCell ref="A34:I34"/>
    <mergeCell ref="A35:C35"/>
    <mergeCell ref="D35:I35"/>
  </mergeCells>
  <conditionalFormatting sqref="D5:D1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5:E19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3"/>
    <col collapsed="false" customWidth="true" hidden="false" outlineLevel="0" max="3" min="3" style="1" width="32"/>
    <col collapsed="false" customWidth="true" hidden="false" outlineLevel="0" max="5" min="4" style="1" width="15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6"/>
    <col collapsed="false" customWidth="true" hidden="false" outlineLevel="0" max="9" min="9" style="1" width="13"/>
    <col collapsed="false" customWidth="true" hidden="false" outlineLevel="0" max="10" min="10" style="1" width="14"/>
  </cols>
  <sheetData>
    <row r="1" customFormat="false" ht="30" hidden="false" customHeight="true" outlineLevel="0" collapsed="false">
      <c r="A1" s="2" t="s">
        <v>122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30" hidden="false" customHeight="true" outlineLevel="0" collapsed="false">
      <c r="A3" s="3" t="s">
        <v>123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7.75" hidden="false" customHeight="true" outlineLevel="0" collapsed="false">
      <c r="A4" s="4" t="s">
        <v>124</v>
      </c>
      <c r="B4" s="4" t="s">
        <v>125</v>
      </c>
      <c r="C4" s="4" t="s">
        <v>28</v>
      </c>
      <c r="D4" s="4" t="s">
        <v>29</v>
      </c>
      <c r="E4" s="4" t="s">
        <v>126</v>
      </c>
      <c r="F4" s="4" t="s">
        <v>57</v>
      </c>
      <c r="G4" s="4" t="s">
        <v>3</v>
      </c>
      <c r="H4" s="4" t="s">
        <v>59</v>
      </c>
      <c r="I4" s="4" t="s">
        <v>58</v>
      </c>
      <c r="J4" s="4" t="s">
        <v>127</v>
      </c>
    </row>
    <row r="5" customFormat="false" ht="15" hidden="false" customHeight="true" outlineLevel="0" collapsed="false">
      <c r="A5" s="20" t="n">
        <v>1</v>
      </c>
      <c r="B5" s="55" t="n">
        <v>41716</v>
      </c>
      <c r="C5" s="16" t="s">
        <v>128</v>
      </c>
      <c r="D5" s="6" t="s">
        <v>37</v>
      </c>
      <c r="E5" s="6" t="s">
        <v>129</v>
      </c>
      <c r="F5" s="6" t="s">
        <v>64</v>
      </c>
      <c r="G5" s="27" t="n">
        <v>22638.48</v>
      </c>
      <c r="H5" s="6" t="n">
        <v>6</v>
      </c>
      <c r="I5" s="7" t="n">
        <v>-1811.0784</v>
      </c>
      <c r="J5" s="56" t="s">
        <v>130</v>
      </c>
    </row>
    <row r="6" customFormat="false" ht="15" hidden="false" customHeight="true" outlineLevel="0" collapsed="false">
      <c r="A6" s="21" t="n">
        <v>2</v>
      </c>
      <c r="B6" s="57" t="n">
        <v>42645</v>
      </c>
      <c r="C6" s="19" t="s">
        <v>131</v>
      </c>
      <c r="D6" s="11" t="s">
        <v>37</v>
      </c>
      <c r="E6" s="11" t="s">
        <v>132</v>
      </c>
      <c r="F6" s="11" t="s">
        <v>67</v>
      </c>
      <c r="G6" s="31" t="n">
        <v>17499.95</v>
      </c>
      <c r="H6" s="11" t="n">
        <v>5</v>
      </c>
      <c r="I6" s="12" t="n">
        <v>8399.976</v>
      </c>
      <c r="J6" s="56" t="s">
        <v>130</v>
      </c>
    </row>
    <row r="7" customFormat="false" ht="15" hidden="false" customHeight="true" outlineLevel="0" collapsed="false">
      <c r="A7" s="20" t="n">
        <v>3</v>
      </c>
      <c r="B7" s="55" t="n">
        <v>42817</v>
      </c>
      <c r="C7" s="16" t="s">
        <v>131</v>
      </c>
      <c r="D7" s="6" t="s">
        <v>37</v>
      </c>
      <c r="E7" s="6" t="s">
        <v>132</v>
      </c>
      <c r="F7" s="6" t="s">
        <v>68</v>
      </c>
      <c r="G7" s="27" t="n">
        <v>13999.96</v>
      </c>
      <c r="H7" s="6" t="n">
        <v>4</v>
      </c>
      <c r="I7" s="7" t="n">
        <v>6719.9808</v>
      </c>
      <c r="J7" s="56" t="s">
        <v>130</v>
      </c>
    </row>
    <row r="8" customFormat="false" ht="15" hidden="false" customHeight="true" outlineLevel="0" collapsed="false">
      <c r="A8" s="21" t="n">
        <v>4</v>
      </c>
      <c r="B8" s="57" t="n">
        <v>43030</v>
      </c>
      <c r="C8" s="19" t="s">
        <v>131</v>
      </c>
      <c r="D8" s="11" t="s">
        <v>37</v>
      </c>
      <c r="E8" s="11" t="s">
        <v>132</v>
      </c>
      <c r="F8" s="11" t="s">
        <v>69</v>
      </c>
      <c r="G8" s="31" t="n">
        <v>11199.968</v>
      </c>
      <c r="H8" s="11" t="n">
        <v>4</v>
      </c>
      <c r="I8" s="12" t="n">
        <v>3919.9888</v>
      </c>
      <c r="J8" s="56" t="s">
        <v>130</v>
      </c>
    </row>
    <row r="9" customFormat="false" ht="15" hidden="false" customHeight="true" outlineLevel="0" collapsed="false">
      <c r="A9" s="20" t="n">
        <v>5</v>
      </c>
      <c r="B9" s="55" t="n">
        <v>43056</v>
      </c>
      <c r="C9" s="16" t="s">
        <v>131</v>
      </c>
      <c r="D9" s="6" t="s">
        <v>37</v>
      </c>
      <c r="E9" s="6" t="s">
        <v>132</v>
      </c>
      <c r="F9" s="6" t="s">
        <v>69</v>
      </c>
      <c r="G9" s="27" t="n">
        <v>10499.97</v>
      </c>
      <c r="H9" s="6" t="n">
        <v>3</v>
      </c>
      <c r="I9" s="7" t="n">
        <v>5039.9856</v>
      </c>
      <c r="J9" s="56" t="s">
        <v>130</v>
      </c>
    </row>
    <row r="10" customFormat="false" ht="15" hidden="false" customHeight="true" outlineLevel="0" collapsed="false">
      <c r="A10" s="21" t="n">
        <v>6</v>
      </c>
      <c r="B10" s="57" t="n">
        <v>42721</v>
      </c>
      <c r="C10" s="19" t="s">
        <v>133</v>
      </c>
      <c r="D10" s="11" t="s">
        <v>32</v>
      </c>
      <c r="E10" s="11" t="s">
        <v>134</v>
      </c>
      <c r="F10" s="11" t="s">
        <v>67</v>
      </c>
      <c r="G10" s="31" t="n">
        <v>9892.74</v>
      </c>
      <c r="H10" s="11" t="n">
        <v>13</v>
      </c>
      <c r="I10" s="12" t="n">
        <v>4946.37</v>
      </c>
      <c r="J10" s="56" t="s">
        <v>130</v>
      </c>
    </row>
    <row r="11" customFormat="false" ht="15" hidden="false" customHeight="true" outlineLevel="0" collapsed="false">
      <c r="A11" s="20" t="n">
        <v>7</v>
      </c>
      <c r="B11" s="55" t="n">
        <v>41905</v>
      </c>
      <c r="C11" s="16" t="s">
        <v>135</v>
      </c>
      <c r="D11" s="6" t="s">
        <v>32</v>
      </c>
      <c r="E11" s="6" t="s">
        <v>134</v>
      </c>
      <c r="F11" s="6" t="s">
        <v>67</v>
      </c>
      <c r="G11" s="27" t="n">
        <v>9449.95</v>
      </c>
      <c r="H11" s="6" t="n">
        <v>5</v>
      </c>
      <c r="I11" s="7" t="n">
        <v>4630.4755</v>
      </c>
      <c r="J11" s="56" t="s">
        <v>130</v>
      </c>
    </row>
    <row r="12" customFormat="false" ht="15" hidden="false" customHeight="true" outlineLevel="0" collapsed="false">
      <c r="A12" s="21" t="n">
        <v>8</v>
      </c>
      <c r="B12" s="57" t="n">
        <v>42476</v>
      </c>
      <c r="C12" s="19" t="s">
        <v>136</v>
      </c>
      <c r="D12" s="11" t="s">
        <v>37</v>
      </c>
      <c r="E12" s="11" t="s">
        <v>129</v>
      </c>
      <c r="F12" s="11" t="s">
        <v>69</v>
      </c>
      <c r="G12" s="31" t="n">
        <v>9099.93</v>
      </c>
      <c r="H12" s="11" t="n">
        <v>7</v>
      </c>
      <c r="I12" s="12" t="n">
        <v>2365.9818</v>
      </c>
      <c r="J12" s="56" t="s">
        <v>130</v>
      </c>
    </row>
    <row r="13" customFormat="false" ht="15" hidden="false" customHeight="true" outlineLevel="0" collapsed="false">
      <c r="A13" s="20" t="n">
        <v>9</v>
      </c>
      <c r="B13" s="55" t="n">
        <v>42402</v>
      </c>
      <c r="C13" s="16" t="s">
        <v>137</v>
      </c>
      <c r="D13" s="6" t="s">
        <v>37</v>
      </c>
      <c r="E13" s="6" t="s">
        <v>129</v>
      </c>
      <c r="F13" s="6" t="s">
        <v>64</v>
      </c>
      <c r="G13" s="27" t="n">
        <v>8749.95</v>
      </c>
      <c r="H13" s="6" t="n">
        <v>5</v>
      </c>
      <c r="I13" s="7" t="n">
        <v>2799.984</v>
      </c>
      <c r="J13" s="56" t="s">
        <v>130</v>
      </c>
    </row>
    <row r="14" customFormat="false" ht="15" hidden="false" customHeight="true" outlineLevel="0" collapsed="false">
      <c r="A14" s="21" t="n">
        <v>10</v>
      </c>
      <c r="B14" s="57" t="n">
        <v>42513</v>
      </c>
      <c r="C14" s="19" t="s">
        <v>131</v>
      </c>
      <c r="D14" s="11" t="s">
        <v>37</v>
      </c>
      <c r="E14" s="11" t="s">
        <v>132</v>
      </c>
      <c r="F14" s="11" t="s">
        <v>69</v>
      </c>
      <c r="G14" s="31" t="n">
        <v>8399.976</v>
      </c>
      <c r="H14" s="11" t="n">
        <v>4</v>
      </c>
      <c r="I14" s="12" t="n">
        <v>1119.9968</v>
      </c>
      <c r="J14" s="56" t="s">
        <v>130</v>
      </c>
    </row>
    <row r="15" customFormat="false" ht="15" hidden="false" customHeight="true" outlineLevel="0" collapsed="false">
      <c r="A15" s="20" t="n">
        <v>11</v>
      </c>
      <c r="B15" s="55" t="n">
        <v>41845</v>
      </c>
      <c r="C15" s="16" t="s">
        <v>138</v>
      </c>
      <c r="D15" s="6" t="s">
        <v>32</v>
      </c>
      <c r="E15" s="6" t="s">
        <v>139</v>
      </c>
      <c r="F15" s="6" t="s">
        <v>68</v>
      </c>
      <c r="G15" s="27" t="n">
        <v>8187.65</v>
      </c>
      <c r="H15" s="6" t="n">
        <v>5</v>
      </c>
      <c r="I15" s="7" t="n">
        <v>327.506</v>
      </c>
      <c r="J15" s="56" t="s">
        <v>130</v>
      </c>
    </row>
    <row r="16" customFormat="false" ht="15" hidden="false" customHeight="true" outlineLevel="0" collapsed="false">
      <c r="A16" s="21" t="n">
        <v>12</v>
      </c>
      <c r="B16" s="57" t="n">
        <v>41890</v>
      </c>
      <c r="C16" s="19" t="s">
        <v>140</v>
      </c>
      <c r="D16" s="11" t="s">
        <v>37</v>
      </c>
      <c r="E16" s="11" t="s">
        <v>129</v>
      </c>
      <c r="F16" s="11" t="s">
        <v>67</v>
      </c>
      <c r="G16" s="31" t="n">
        <v>8159.952</v>
      </c>
      <c r="H16" s="11" t="n">
        <v>8</v>
      </c>
      <c r="I16" s="12" t="n">
        <v>-1359.992</v>
      </c>
      <c r="J16" s="56" t="s">
        <v>130</v>
      </c>
    </row>
    <row r="17" customFormat="false" ht="15" hidden="false" customHeight="true" outlineLevel="0" collapsed="false">
      <c r="A17" s="20" t="n">
        <v>13</v>
      </c>
      <c r="B17" s="55" t="n">
        <v>43043</v>
      </c>
      <c r="C17" s="16" t="s">
        <v>141</v>
      </c>
      <c r="D17" s="6" t="s">
        <v>37</v>
      </c>
      <c r="E17" s="6" t="s">
        <v>129</v>
      </c>
      <c r="F17" s="6" t="s">
        <v>64</v>
      </c>
      <c r="G17" s="27" t="n">
        <v>7999.98</v>
      </c>
      <c r="H17" s="6" t="n">
        <v>4</v>
      </c>
      <c r="I17" s="7" t="n">
        <v>-3839.9904</v>
      </c>
      <c r="J17" s="56" t="s">
        <v>130</v>
      </c>
    </row>
    <row r="18" customFormat="false" ht="15" hidden="false" customHeight="true" outlineLevel="0" collapsed="false">
      <c r="A18" s="21" t="n">
        <v>14</v>
      </c>
      <c r="B18" s="57" t="n">
        <v>41987</v>
      </c>
      <c r="C18" s="19" t="s">
        <v>137</v>
      </c>
      <c r="D18" s="11" t="s">
        <v>37</v>
      </c>
      <c r="E18" s="11" t="s">
        <v>129</v>
      </c>
      <c r="F18" s="11" t="s">
        <v>69</v>
      </c>
      <c r="G18" s="31" t="n">
        <v>6999.96</v>
      </c>
      <c r="H18" s="11" t="n">
        <v>4</v>
      </c>
      <c r="I18" s="12" t="n">
        <v>2239.9872</v>
      </c>
      <c r="J18" s="56" t="s">
        <v>130</v>
      </c>
    </row>
    <row r="19" customFormat="false" ht="15" hidden="false" customHeight="true" outlineLevel="0" collapsed="false">
      <c r="A19" s="20" t="n">
        <v>15</v>
      </c>
      <c r="B19" s="55" t="n">
        <v>42079</v>
      </c>
      <c r="C19" s="16" t="s">
        <v>142</v>
      </c>
      <c r="D19" s="6" t="s">
        <v>32</v>
      </c>
      <c r="E19" s="6" t="s">
        <v>134</v>
      </c>
      <c r="F19" s="6" t="s">
        <v>64</v>
      </c>
      <c r="G19" s="27" t="n">
        <v>6354.95</v>
      </c>
      <c r="H19" s="6" t="n">
        <v>5</v>
      </c>
      <c r="I19" s="7" t="n">
        <v>3177.475</v>
      </c>
      <c r="J19" s="56" t="s">
        <v>130</v>
      </c>
    </row>
    <row r="20" customFormat="false" ht="15" hidden="false" customHeight="true" outlineLevel="0" collapsed="false">
      <c r="A20" s="21" t="n">
        <v>16</v>
      </c>
      <c r="B20" s="57" t="n">
        <v>42751</v>
      </c>
      <c r="C20" s="19" t="s">
        <v>143</v>
      </c>
      <c r="D20" s="11" t="s">
        <v>32</v>
      </c>
      <c r="E20" s="11" t="s">
        <v>134</v>
      </c>
      <c r="F20" s="11" t="s">
        <v>67</v>
      </c>
      <c r="G20" s="31" t="n">
        <v>5443.96</v>
      </c>
      <c r="H20" s="11" t="n">
        <v>4</v>
      </c>
      <c r="I20" s="12" t="n">
        <v>2504.2216</v>
      </c>
      <c r="J20" s="56" t="s">
        <v>130</v>
      </c>
    </row>
    <row r="21" customFormat="false" ht="15" hidden="false" customHeight="true" outlineLevel="0" collapsed="false">
      <c r="A21" s="20" t="n">
        <v>17</v>
      </c>
      <c r="B21" s="55" t="n">
        <v>42647</v>
      </c>
      <c r="C21" s="16" t="s">
        <v>144</v>
      </c>
      <c r="D21" s="6" t="s">
        <v>37</v>
      </c>
      <c r="E21" s="6" t="s">
        <v>132</v>
      </c>
      <c r="F21" s="6" t="s">
        <v>69</v>
      </c>
      <c r="G21" s="27" t="n">
        <v>5399.91</v>
      </c>
      <c r="H21" s="6" t="n">
        <v>9</v>
      </c>
      <c r="I21" s="7" t="n">
        <v>2591.9568</v>
      </c>
      <c r="J21" s="56" t="s">
        <v>130</v>
      </c>
    </row>
    <row r="22" customFormat="false" ht="15" hidden="false" customHeight="true" outlineLevel="0" collapsed="false">
      <c r="A22" s="21" t="n">
        <v>18</v>
      </c>
      <c r="B22" s="57" t="n">
        <v>43013</v>
      </c>
      <c r="C22" s="19" t="s">
        <v>136</v>
      </c>
      <c r="D22" s="11" t="s">
        <v>37</v>
      </c>
      <c r="E22" s="11" t="s">
        <v>129</v>
      </c>
      <c r="F22" s="11" t="s">
        <v>69</v>
      </c>
      <c r="G22" s="31" t="n">
        <v>5199.96</v>
      </c>
      <c r="H22" s="11" t="n">
        <v>4</v>
      </c>
      <c r="I22" s="12" t="n">
        <v>1351.9896</v>
      </c>
      <c r="J22" s="56" t="s">
        <v>130</v>
      </c>
    </row>
    <row r="23" customFormat="false" ht="15" hidden="false" customHeight="true" outlineLevel="0" collapsed="false">
      <c r="A23" s="20" t="n">
        <v>19</v>
      </c>
      <c r="B23" s="55" t="n">
        <v>43021</v>
      </c>
      <c r="C23" s="16" t="s">
        <v>142</v>
      </c>
      <c r="D23" s="6" t="s">
        <v>32</v>
      </c>
      <c r="E23" s="6" t="s">
        <v>134</v>
      </c>
      <c r="F23" s="6" t="s">
        <v>68</v>
      </c>
      <c r="G23" s="27" t="n">
        <v>5083.96</v>
      </c>
      <c r="H23" s="6" t="n">
        <v>5</v>
      </c>
      <c r="I23" s="7" t="n">
        <v>1906.485</v>
      </c>
      <c r="J23" s="56" t="s">
        <v>130</v>
      </c>
    </row>
    <row r="24" customFormat="false" ht="15" hidden="false" customHeight="true" outlineLevel="0" collapsed="false">
      <c r="A24" s="21" t="n">
        <v>20</v>
      </c>
      <c r="B24" s="57" t="n">
        <v>42442</v>
      </c>
      <c r="C24" s="19" t="s">
        <v>138</v>
      </c>
      <c r="D24" s="11" t="s">
        <v>32</v>
      </c>
      <c r="E24" s="11" t="s">
        <v>139</v>
      </c>
      <c r="F24" s="11" t="s">
        <v>68</v>
      </c>
      <c r="G24" s="31" t="n">
        <v>4912.59</v>
      </c>
      <c r="H24" s="11" t="n">
        <v>3</v>
      </c>
      <c r="I24" s="12" t="n">
        <v>196.5036</v>
      </c>
      <c r="J24" s="56" t="s">
        <v>130</v>
      </c>
    </row>
    <row r="26" customFormat="false" ht="39.75" hidden="false" customHeight="true" outlineLevel="0" collapsed="false">
      <c r="A26" s="58" t="s">
        <v>145</v>
      </c>
      <c r="B26" s="58"/>
      <c r="C26" s="58"/>
      <c r="D26" s="58"/>
      <c r="E26" s="58"/>
      <c r="F26" s="58"/>
      <c r="G26" s="58"/>
      <c r="H26" s="58"/>
      <c r="I26" s="58"/>
      <c r="J26" s="58"/>
    </row>
    <row r="28" customFormat="false" ht="30" hidden="false" customHeight="true" outlineLevel="0" collapsed="false">
      <c r="A28" s="3" t="s">
        <v>146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27.75" hidden="false" customHeight="true" outlineLevel="0" collapsed="false">
      <c r="A29" s="4" t="s">
        <v>124</v>
      </c>
      <c r="B29" s="4" t="s">
        <v>147</v>
      </c>
      <c r="C29" s="4" t="s">
        <v>29</v>
      </c>
      <c r="D29" s="4" t="s">
        <v>126</v>
      </c>
      <c r="E29" s="4" t="s">
        <v>3</v>
      </c>
    </row>
    <row r="30" customFormat="false" ht="15" hidden="false" customHeight="true" outlineLevel="0" collapsed="false">
      <c r="A30" s="20" t="n">
        <v>1</v>
      </c>
      <c r="B30" s="16" t="s">
        <v>148</v>
      </c>
      <c r="C30" s="6" t="s">
        <v>32</v>
      </c>
      <c r="D30" s="6" t="s">
        <v>149</v>
      </c>
      <c r="E30" s="7" t="n">
        <v>7.42</v>
      </c>
    </row>
    <row r="31" customFormat="false" ht="15" hidden="false" customHeight="true" outlineLevel="0" collapsed="false">
      <c r="A31" s="21" t="n">
        <v>2</v>
      </c>
      <c r="B31" s="19" t="s">
        <v>150</v>
      </c>
      <c r="C31" s="11" t="s">
        <v>32</v>
      </c>
      <c r="D31" s="11" t="s">
        <v>151</v>
      </c>
      <c r="E31" s="12" t="n">
        <v>8.26</v>
      </c>
    </row>
    <row r="32" customFormat="false" ht="15" hidden="false" customHeight="true" outlineLevel="0" collapsed="false">
      <c r="A32" s="20" t="n">
        <v>3</v>
      </c>
      <c r="B32" s="16" t="s">
        <v>152</v>
      </c>
      <c r="C32" s="6" t="s">
        <v>32</v>
      </c>
      <c r="D32" s="6" t="s">
        <v>151</v>
      </c>
      <c r="E32" s="7" t="n">
        <v>22.18</v>
      </c>
    </row>
    <row r="33" customFormat="false" ht="15" hidden="false" customHeight="true" outlineLevel="0" collapsed="false">
      <c r="A33" s="21" t="n">
        <v>4</v>
      </c>
      <c r="B33" s="19" t="s">
        <v>153</v>
      </c>
      <c r="C33" s="11" t="s">
        <v>32</v>
      </c>
      <c r="D33" s="11" t="s">
        <v>151</v>
      </c>
      <c r="E33" s="12" t="n">
        <v>37.608</v>
      </c>
    </row>
    <row r="34" customFormat="false" ht="15" hidden="false" customHeight="true" outlineLevel="0" collapsed="false">
      <c r="A34" s="20" t="n">
        <v>5</v>
      </c>
      <c r="B34" s="16" t="s">
        <v>154</v>
      </c>
      <c r="C34" s="6" t="s">
        <v>32</v>
      </c>
      <c r="D34" s="6" t="s">
        <v>151</v>
      </c>
      <c r="E34" s="7" t="n">
        <v>27.968</v>
      </c>
    </row>
    <row r="35" customFormat="false" ht="15" hidden="false" customHeight="true" outlineLevel="0" collapsed="false">
      <c r="A35" s="21" t="n">
        <v>6</v>
      </c>
      <c r="B35" s="19" t="s">
        <v>155</v>
      </c>
      <c r="C35" s="11" t="s">
        <v>32</v>
      </c>
      <c r="D35" s="11" t="s">
        <v>151</v>
      </c>
      <c r="E35" s="12" t="n">
        <v>24.448</v>
      </c>
    </row>
    <row r="36" customFormat="false" ht="15" hidden="false" customHeight="true" outlineLevel="0" collapsed="false">
      <c r="A36" s="20" t="n">
        <v>7</v>
      </c>
      <c r="B36" s="16" t="s">
        <v>156</v>
      </c>
      <c r="C36" s="6" t="s">
        <v>32</v>
      </c>
      <c r="D36" s="6" t="s">
        <v>151</v>
      </c>
      <c r="E36" s="7" t="n">
        <v>113.328</v>
      </c>
    </row>
    <row r="37" customFormat="false" ht="15" hidden="false" customHeight="true" outlineLevel="0" collapsed="false">
      <c r="A37" s="21" t="n">
        <v>8</v>
      </c>
      <c r="B37" s="19" t="s">
        <v>157</v>
      </c>
      <c r="C37" s="11" t="s">
        <v>32</v>
      </c>
      <c r="D37" s="11" t="s">
        <v>151</v>
      </c>
      <c r="E37" s="12" t="n">
        <v>7.92</v>
      </c>
    </row>
    <row r="38" customFormat="false" ht="15" hidden="false" customHeight="true" outlineLevel="0" collapsed="false">
      <c r="A38" s="20" t="n">
        <v>9</v>
      </c>
      <c r="B38" s="16" t="s">
        <v>158</v>
      </c>
      <c r="C38" s="6" t="s">
        <v>32</v>
      </c>
      <c r="D38" s="6" t="s">
        <v>159</v>
      </c>
      <c r="E38" s="7" t="n">
        <v>208.16</v>
      </c>
    </row>
    <row r="39" customFormat="false" ht="15" hidden="false" customHeight="true" outlineLevel="0" collapsed="false">
      <c r="A39" s="21" t="n">
        <v>10</v>
      </c>
      <c r="B39" s="19" t="s">
        <v>160</v>
      </c>
      <c r="C39" s="11" t="s">
        <v>32</v>
      </c>
      <c r="D39" s="11" t="s">
        <v>149</v>
      </c>
      <c r="E39" s="12" t="n">
        <v>44.1</v>
      </c>
    </row>
  </sheetData>
  <mergeCells count="4">
    <mergeCell ref="A1:J1"/>
    <mergeCell ref="A3:J3"/>
    <mergeCell ref="A26:J26"/>
    <mergeCell ref="A28:J28"/>
  </mergeCells>
  <conditionalFormatting sqref="G5:G24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3"/>
    <col collapsed="false" customWidth="true" hidden="false" outlineLevel="0" max="4" min="4" style="1" width="14"/>
    <col collapsed="false" customWidth="true" hidden="false" outlineLevel="0" max="7" min="5" style="1" width="12"/>
    <col collapsed="false" customWidth="true" hidden="false" outlineLevel="0" max="8" min="8" style="1" width="22"/>
    <col collapsed="false" customWidth="true" hidden="false" outlineLevel="0" max="9" min="9" style="1" width="14"/>
  </cols>
  <sheetData>
    <row r="1" customFormat="false" ht="30" hidden="false" customHeight="true" outlineLevel="0" collapsed="false">
      <c r="A1" s="2" t="s">
        <v>161</v>
      </c>
      <c r="B1" s="2"/>
      <c r="C1" s="2"/>
      <c r="D1" s="2"/>
      <c r="E1" s="2"/>
      <c r="F1" s="2"/>
      <c r="G1" s="2"/>
      <c r="H1" s="2"/>
      <c r="I1" s="2"/>
    </row>
    <row r="3" customFormat="false" ht="30" hidden="false" customHeight="true" outlineLevel="0" collapsed="false">
      <c r="A3" s="3" t="s">
        <v>162</v>
      </c>
      <c r="B3" s="3"/>
      <c r="C3" s="3"/>
      <c r="D3" s="3"/>
      <c r="E3" s="3"/>
      <c r="F3" s="3"/>
      <c r="G3" s="3"/>
      <c r="H3" s="3"/>
      <c r="I3" s="3"/>
    </row>
    <row r="4" customFormat="false" ht="27.75" hidden="false" customHeight="true" outlineLevel="0" collapsed="false">
      <c r="A4" s="4" t="s">
        <v>163</v>
      </c>
      <c r="B4" s="4" t="s">
        <v>125</v>
      </c>
      <c r="C4" s="4" t="s">
        <v>164</v>
      </c>
      <c r="D4" s="4" t="s">
        <v>165</v>
      </c>
      <c r="E4" s="4" t="s">
        <v>166</v>
      </c>
      <c r="F4" s="4" t="s">
        <v>167</v>
      </c>
      <c r="G4" s="4" t="s">
        <v>168</v>
      </c>
      <c r="H4" s="4" t="s">
        <v>169</v>
      </c>
      <c r="I4" s="4" t="s">
        <v>170</v>
      </c>
    </row>
    <row r="5" customFormat="false" ht="15" hidden="false" customHeight="true" outlineLevel="0" collapsed="false">
      <c r="A5" s="6" t="s">
        <v>171</v>
      </c>
      <c r="B5" s="55" t="n">
        <v>42682</v>
      </c>
      <c r="C5" s="55" t="n">
        <v>42685</v>
      </c>
      <c r="D5" s="59" t="n">
        <f aca="false">C5-B5</f>
        <v>3</v>
      </c>
      <c r="E5" s="60" t="n">
        <f aca="false">DATEDIF(B5,C5,"D")</f>
        <v>3</v>
      </c>
      <c r="F5" s="60" t="n">
        <f aca="false">DATEDIF(B5,C5,"M")</f>
        <v>0</v>
      </c>
      <c r="G5" s="60" t="n">
        <f aca="false">DATEDIF(B5,C5,"Y")</f>
        <v>0</v>
      </c>
      <c r="H5" s="6" t="str">
        <f aca="false">TEXT(B5,"MMMM DD, YYYY")</f>
        <v>November 08, 2016</v>
      </c>
      <c r="I5" s="61" t="s">
        <v>172</v>
      </c>
    </row>
    <row r="6" customFormat="false" ht="15" hidden="false" customHeight="true" outlineLevel="0" collapsed="false">
      <c r="A6" s="11" t="s">
        <v>173</v>
      </c>
      <c r="B6" s="57" t="n">
        <v>42533</v>
      </c>
      <c r="C6" s="57" t="n">
        <v>42537</v>
      </c>
      <c r="D6" s="59" t="n">
        <f aca="false">C6-B6</f>
        <v>4</v>
      </c>
      <c r="E6" s="18" t="n">
        <f aca="false">DATEDIF(B6,C6,"D")</f>
        <v>4</v>
      </c>
      <c r="F6" s="18" t="n">
        <f aca="false">DATEDIF(B6,C6,"M")</f>
        <v>0</v>
      </c>
      <c r="G6" s="18" t="n">
        <f aca="false">DATEDIF(B6,C6,"Y")</f>
        <v>0</v>
      </c>
      <c r="H6" s="11" t="str">
        <f aca="false">TEXT(B6,"MMMM DD, YYYY")</f>
        <v>June 12, 2016</v>
      </c>
      <c r="I6" s="61" t="s">
        <v>172</v>
      </c>
    </row>
    <row r="7" customFormat="false" ht="15" hidden="false" customHeight="true" outlineLevel="0" collapsed="false">
      <c r="A7" s="6" t="s">
        <v>174</v>
      </c>
      <c r="B7" s="55" t="n">
        <v>42288</v>
      </c>
      <c r="C7" s="55" t="n">
        <v>42295</v>
      </c>
      <c r="D7" s="59" t="n">
        <f aca="false">C7-B7</f>
        <v>7</v>
      </c>
      <c r="E7" s="60" t="n">
        <f aca="false">DATEDIF(B7,C7,"D")</f>
        <v>7</v>
      </c>
      <c r="F7" s="60" t="n">
        <f aca="false">DATEDIF(B7,C7,"M")</f>
        <v>0</v>
      </c>
      <c r="G7" s="60" t="n">
        <f aca="false">DATEDIF(B7,C7,"Y")</f>
        <v>0</v>
      </c>
      <c r="H7" s="6" t="str">
        <f aca="false">TEXT(B7,"MMMM DD, YYYY")</f>
        <v>October 11, 2015</v>
      </c>
      <c r="I7" s="62" t="s">
        <v>175</v>
      </c>
    </row>
    <row r="8" customFormat="false" ht="15" hidden="false" customHeight="true" outlineLevel="0" collapsed="false">
      <c r="A8" s="11" t="s">
        <v>176</v>
      </c>
      <c r="B8" s="57" t="n">
        <v>41799</v>
      </c>
      <c r="C8" s="57" t="n">
        <v>41804</v>
      </c>
      <c r="D8" s="59" t="n">
        <f aca="false">C8-B8</f>
        <v>5</v>
      </c>
      <c r="E8" s="18" t="n">
        <f aca="false">DATEDIF(B8,C8,"D")</f>
        <v>5</v>
      </c>
      <c r="F8" s="18" t="n">
        <f aca="false">DATEDIF(B8,C8,"M")</f>
        <v>0</v>
      </c>
      <c r="G8" s="18" t="n">
        <f aca="false">DATEDIF(B8,C8,"Y")</f>
        <v>0</v>
      </c>
      <c r="H8" s="11" t="str">
        <f aca="false">TEXT(B8,"MMMM DD, YYYY")</f>
        <v>June 09, 2014</v>
      </c>
      <c r="I8" s="62" t="s">
        <v>175</v>
      </c>
    </row>
    <row r="9" customFormat="false" ht="15" hidden="false" customHeight="true" outlineLevel="0" collapsed="false">
      <c r="A9" s="6" t="s">
        <v>177</v>
      </c>
      <c r="B9" s="55" t="n">
        <v>42840</v>
      </c>
      <c r="C9" s="55" t="n">
        <v>42845</v>
      </c>
      <c r="D9" s="59" t="n">
        <f aca="false">C9-B9</f>
        <v>5</v>
      </c>
      <c r="E9" s="60" t="n">
        <f aca="false">DATEDIF(B9,C9,"D")</f>
        <v>5</v>
      </c>
      <c r="F9" s="60" t="n">
        <f aca="false">DATEDIF(B9,C9,"M")</f>
        <v>0</v>
      </c>
      <c r="G9" s="60" t="n">
        <f aca="false">DATEDIF(B9,C9,"Y")</f>
        <v>0</v>
      </c>
      <c r="H9" s="6" t="str">
        <f aca="false">TEXT(B9,"MMMM DD, YYYY")</f>
        <v>April 15, 2017</v>
      </c>
      <c r="I9" s="62" t="s">
        <v>175</v>
      </c>
    </row>
    <row r="10" customFormat="false" ht="15" hidden="false" customHeight="true" outlineLevel="0" collapsed="false">
      <c r="A10" s="11" t="s">
        <v>178</v>
      </c>
      <c r="B10" s="57" t="n">
        <v>42709</v>
      </c>
      <c r="C10" s="57" t="n">
        <v>42714</v>
      </c>
      <c r="D10" s="59" t="n">
        <f aca="false">C10-B10</f>
        <v>5</v>
      </c>
      <c r="E10" s="18" t="n">
        <f aca="false">DATEDIF(B10,C10,"D")</f>
        <v>5</v>
      </c>
      <c r="F10" s="18" t="n">
        <f aca="false">DATEDIF(B10,C10,"M")</f>
        <v>0</v>
      </c>
      <c r="G10" s="18" t="n">
        <f aca="false">DATEDIF(B10,C10,"Y")</f>
        <v>0</v>
      </c>
      <c r="H10" s="11" t="str">
        <f aca="false">TEXT(B10,"MMMM DD, YYYY")</f>
        <v>December 05, 2016</v>
      </c>
      <c r="I10" s="62" t="s">
        <v>175</v>
      </c>
    </row>
    <row r="11" customFormat="false" ht="15" hidden="false" customHeight="true" outlineLevel="0" collapsed="false">
      <c r="A11" s="6" t="s">
        <v>179</v>
      </c>
      <c r="B11" s="55" t="n">
        <v>42330</v>
      </c>
      <c r="C11" s="55" t="n">
        <v>42334</v>
      </c>
      <c r="D11" s="59" t="n">
        <f aca="false">C11-B11</f>
        <v>4</v>
      </c>
      <c r="E11" s="60" t="n">
        <f aca="false">DATEDIF(B11,C11,"D")</f>
        <v>4</v>
      </c>
      <c r="F11" s="60" t="n">
        <f aca="false">DATEDIF(B11,C11,"M")</f>
        <v>0</v>
      </c>
      <c r="G11" s="60" t="n">
        <f aca="false">DATEDIF(B11,C11,"Y")</f>
        <v>0</v>
      </c>
      <c r="H11" s="6" t="str">
        <f aca="false">TEXT(B11,"MMMM DD, YYYY")</f>
        <v>November 22, 2015</v>
      </c>
      <c r="I11" s="61" t="s">
        <v>172</v>
      </c>
    </row>
    <row r="12" customFormat="false" ht="15" hidden="false" customHeight="true" outlineLevel="0" collapsed="false">
      <c r="A12" s="11" t="s">
        <v>180</v>
      </c>
      <c r="B12" s="57" t="n">
        <v>41954</v>
      </c>
      <c r="C12" s="57" t="n">
        <v>41961</v>
      </c>
      <c r="D12" s="59" t="n">
        <f aca="false">C12-B12</f>
        <v>7</v>
      </c>
      <c r="E12" s="18" t="n">
        <f aca="false">DATEDIF(B12,C12,"D")</f>
        <v>7</v>
      </c>
      <c r="F12" s="18" t="n">
        <f aca="false">DATEDIF(B12,C12,"M")</f>
        <v>0</v>
      </c>
      <c r="G12" s="18" t="n">
        <f aca="false">DATEDIF(B12,C12,"Y")</f>
        <v>0</v>
      </c>
      <c r="H12" s="11" t="str">
        <f aca="false">TEXT(B12,"MMMM DD, YYYY")</f>
        <v>November 11, 2014</v>
      </c>
      <c r="I12" s="62" t="s">
        <v>175</v>
      </c>
    </row>
    <row r="13" customFormat="false" ht="15" hidden="false" customHeight="true" outlineLevel="0" collapsed="false">
      <c r="A13" s="6" t="s">
        <v>181</v>
      </c>
      <c r="B13" s="55" t="n">
        <v>41772</v>
      </c>
      <c r="C13" s="55" t="n">
        <v>41774</v>
      </c>
      <c r="D13" s="59" t="n">
        <f aca="false">C13-B13</f>
        <v>2</v>
      </c>
      <c r="E13" s="60" t="n">
        <f aca="false">DATEDIF(B13,C13,"D")</f>
        <v>2</v>
      </c>
      <c r="F13" s="60" t="n">
        <f aca="false">DATEDIF(B13,C13,"M")</f>
        <v>0</v>
      </c>
      <c r="G13" s="60" t="n">
        <f aca="false">DATEDIF(B13,C13,"Y")</f>
        <v>0</v>
      </c>
      <c r="H13" s="6" t="str">
        <f aca="false">TEXT(B13,"MMMM DD, YYYY")</f>
        <v>May 13, 2014</v>
      </c>
      <c r="I13" s="30" t="s">
        <v>182</v>
      </c>
    </row>
    <row r="14" customFormat="false" ht="15" hidden="false" customHeight="true" outlineLevel="0" collapsed="false">
      <c r="A14" s="11" t="s">
        <v>183</v>
      </c>
      <c r="B14" s="57" t="n">
        <v>41878</v>
      </c>
      <c r="C14" s="57" t="n">
        <v>41883</v>
      </c>
      <c r="D14" s="59" t="n">
        <f aca="false">C14-B14</f>
        <v>5</v>
      </c>
      <c r="E14" s="18" t="n">
        <f aca="false">DATEDIF(B14,C14,"D")</f>
        <v>5</v>
      </c>
      <c r="F14" s="18" t="n">
        <f aca="false">DATEDIF(B14,C14,"M")</f>
        <v>0</v>
      </c>
      <c r="G14" s="18" t="n">
        <f aca="false">DATEDIF(B14,C14,"Y")</f>
        <v>0</v>
      </c>
      <c r="H14" s="11" t="str">
        <f aca="false">TEXT(B14,"MMMM DD, YYYY")</f>
        <v>August 27, 2014</v>
      </c>
      <c r="I14" s="62" t="s">
        <v>175</v>
      </c>
    </row>
    <row r="15" customFormat="false" ht="15" hidden="false" customHeight="true" outlineLevel="0" collapsed="false">
      <c r="A15" s="6" t="s">
        <v>184</v>
      </c>
      <c r="B15" s="55" t="n">
        <v>42713</v>
      </c>
      <c r="C15" s="55" t="n">
        <v>42717</v>
      </c>
      <c r="D15" s="59" t="n">
        <f aca="false">C15-B15</f>
        <v>4</v>
      </c>
      <c r="E15" s="60" t="n">
        <f aca="false">DATEDIF(B15,C15,"D")</f>
        <v>4</v>
      </c>
      <c r="F15" s="60" t="n">
        <f aca="false">DATEDIF(B15,C15,"M")</f>
        <v>0</v>
      </c>
      <c r="G15" s="60" t="n">
        <f aca="false">DATEDIF(B15,C15,"Y")</f>
        <v>0</v>
      </c>
      <c r="H15" s="6" t="str">
        <f aca="false">TEXT(B15,"MMMM DD, YYYY")</f>
        <v>December 09, 2016</v>
      </c>
      <c r="I15" s="61" t="s">
        <v>172</v>
      </c>
    </row>
    <row r="16" customFormat="false" ht="15" hidden="false" customHeight="true" outlineLevel="0" collapsed="false">
      <c r="A16" s="11" t="s">
        <v>185</v>
      </c>
      <c r="B16" s="57" t="n">
        <v>42932</v>
      </c>
      <c r="C16" s="57" t="n">
        <v>42934</v>
      </c>
      <c r="D16" s="59" t="n">
        <f aca="false">C16-B16</f>
        <v>2</v>
      </c>
      <c r="E16" s="18" t="n">
        <f aca="false">DATEDIF(B16,C16,"D")</f>
        <v>2</v>
      </c>
      <c r="F16" s="18" t="n">
        <f aca="false">DATEDIF(B16,C16,"M")</f>
        <v>0</v>
      </c>
      <c r="G16" s="18" t="n">
        <f aca="false">DATEDIF(B16,C16,"Y")</f>
        <v>0</v>
      </c>
      <c r="H16" s="11" t="str">
        <f aca="false">TEXT(B16,"MMMM DD, YYYY")</f>
        <v>July 16, 2017</v>
      </c>
      <c r="I16" s="30" t="s">
        <v>182</v>
      </c>
    </row>
    <row r="17" customFormat="false" ht="15" hidden="false" customHeight="true" outlineLevel="0" collapsed="false">
      <c r="A17" s="6" t="s">
        <v>186</v>
      </c>
      <c r="B17" s="55" t="n">
        <v>42272</v>
      </c>
      <c r="C17" s="55" t="n">
        <v>42277</v>
      </c>
      <c r="D17" s="59" t="n">
        <f aca="false">C17-B17</f>
        <v>5</v>
      </c>
      <c r="E17" s="60" t="n">
        <f aca="false">DATEDIF(B17,C17,"D")</f>
        <v>5</v>
      </c>
      <c r="F17" s="60" t="n">
        <f aca="false">DATEDIF(B17,C17,"M")</f>
        <v>0</v>
      </c>
      <c r="G17" s="60" t="n">
        <f aca="false">DATEDIF(B17,C17,"Y")</f>
        <v>0</v>
      </c>
      <c r="H17" s="6" t="str">
        <f aca="false">TEXT(B17,"MMMM DD, YYYY")</f>
        <v>September 25, 2015</v>
      </c>
      <c r="I17" s="62" t="s">
        <v>175</v>
      </c>
    </row>
    <row r="18" customFormat="false" ht="15" hidden="false" customHeight="true" outlineLevel="0" collapsed="false">
      <c r="A18" s="11" t="s">
        <v>187</v>
      </c>
      <c r="B18" s="57" t="n">
        <v>42385</v>
      </c>
      <c r="C18" s="57" t="n">
        <v>42389</v>
      </c>
      <c r="D18" s="59" t="n">
        <f aca="false">C18-B18</f>
        <v>4</v>
      </c>
      <c r="E18" s="18" t="n">
        <f aca="false">DATEDIF(B18,C18,"D")</f>
        <v>4</v>
      </c>
      <c r="F18" s="18" t="n">
        <f aca="false">DATEDIF(B18,C18,"M")</f>
        <v>0</v>
      </c>
      <c r="G18" s="18" t="n">
        <f aca="false">DATEDIF(B18,C18,"Y")</f>
        <v>0</v>
      </c>
      <c r="H18" s="11" t="str">
        <f aca="false">TEXT(B18,"MMMM DD, YYYY")</f>
        <v>January 16, 2016</v>
      </c>
      <c r="I18" s="61" t="s">
        <v>172</v>
      </c>
    </row>
    <row r="19" customFormat="false" ht="15" hidden="false" customHeight="true" outlineLevel="0" collapsed="false">
      <c r="A19" s="6" t="s">
        <v>188</v>
      </c>
      <c r="B19" s="55" t="n">
        <v>42264</v>
      </c>
      <c r="C19" s="55" t="n">
        <v>42268</v>
      </c>
      <c r="D19" s="59" t="n">
        <f aca="false">C19-B19</f>
        <v>4</v>
      </c>
      <c r="E19" s="60" t="n">
        <f aca="false">DATEDIF(B19,C19,"D")</f>
        <v>4</v>
      </c>
      <c r="F19" s="60" t="n">
        <f aca="false">DATEDIF(B19,C19,"M")</f>
        <v>0</v>
      </c>
      <c r="G19" s="60" t="n">
        <f aca="false">DATEDIF(B19,C19,"Y")</f>
        <v>0</v>
      </c>
      <c r="H19" s="6" t="str">
        <f aca="false">TEXT(B19,"MMMM DD, YYYY")</f>
        <v>September 17, 2015</v>
      </c>
      <c r="I19" s="61" t="s">
        <v>172</v>
      </c>
    </row>
    <row r="22" customFormat="false" ht="30" hidden="false" customHeight="true" outlineLevel="0" collapsed="false">
      <c r="A22" s="3" t="s">
        <v>189</v>
      </c>
      <c r="B22" s="3"/>
      <c r="C22" s="3"/>
      <c r="D22" s="3"/>
      <c r="E22" s="3"/>
      <c r="F22" s="3"/>
      <c r="G22" s="3"/>
      <c r="H22" s="3"/>
      <c r="I22" s="3"/>
    </row>
    <row r="23" customFormat="false" ht="27.75" hidden="false" customHeight="true" outlineLevel="0" collapsed="false">
      <c r="A23" s="4" t="s">
        <v>190</v>
      </c>
      <c r="B23" s="4" t="s">
        <v>191</v>
      </c>
      <c r="C23" s="4" t="s">
        <v>192</v>
      </c>
      <c r="D23" s="4" t="s">
        <v>193</v>
      </c>
    </row>
    <row r="24" customFormat="false" ht="15" hidden="false" customHeight="true" outlineLevel="0" collapsed="false">
      <c r="A24" s="8" t="s">
        <v>194</v>
      </c>
      <c r="B24" s="63" t="n">
        <f aca="true">TODAY()</f>
        <v>46159</v>
      </c>
      <c r="C24" s="16" t="s">
        <v>195</v>
      </c>
      <c r="D24" s="20" t="s">
        <v>196</v>
      </c>
    </row>
    <row r="25" customFormat="false" ht="15" hidden="false" customHeight="true" outlineLevel="0" collapsed="false">
      <c r="A25" s="8" t="s">
        <v>197</v>
      </c>
      <c r="B25" s="64" t="n">
        <f aca="true">NOW()</f>
        <v>46159.6610623595</v>
      </c>
      <c r="C25" s="19" t="s">
        <v>198</v>
      </c>
      <c r="D25" s="21" t="s">
        <v>199</v>
      </c>
    </row>
    <row r="26" customFormat="false" ht="15" hidden="false" customHeight="true" outlineLevel="0" collapsed="false">
      <c r="A26" s="8" t="s">
        <v>200</v>
      </c>
      <c r="B26" s="63" t="n">
        <f aca="false">DATE(2024,12,25)</f>
        <v>45651</v>
      </c>
      <c r="C26" s="16" t="s">
        <v>201</v>
      </c>
      <c r="D26" s="20" t="s">
        <v>202</v>
      </c>
    </row>
    <row r="27" customFormat="false" ht="15" hidden="false" customHeight="true" outlineLevel="0" collapsed="false">
      <c r="A27" s="8" t="s">
        <v>203</v>
      </c>
      <c r="B27" s="23" t="n">
        <f aca="false">YEAR(B5)</f>
        <v>2016</v>
      </c>
      <c r="C27" s="19" t="s">
        <v>204</v>
      </c>
      <c r="D27" s="21" t="s">
        <v>205</v>
      </c>
    </row>
    <row r="28" customFormat="false" ht="15" hidden="false" customHeight="true" outlineLevel="0" collapsed="false">
      <c r="A28" s="8" t="s">
        <v>206</v>
      </c>
      <c r="B28" s="24" t="n">
        <f aca="false">MONTH(B5)</f>
        <v>11</v>
      </c>
      <c r="C28" s="16" t="s">
        <v>207</v>
      </c>
      <c r="D28" s="20" t="s">
        <v>208</v>
      </c>
    </row>
    <row r="29" customFormat="false" ht="15" hidden="false" customHeight="true" outlineLevel="0" collapsed="false">
      <c r="A29" s="8" t="s">
        <v>209</v>
      </c>
      <c r="B29" s="23" t="n">
        <f aca="false">DAY(B5)</f>
        <v>8</v>
      </c>
      <c r="C29" s="19" t="s">
        <v>210</v>
      </c>
      <c r="D29" s="21" t="s">
        <v>211</v>
      </c>
    </row>
    <row r="30" customFormat="false" ht="15" hidden="false" customHeight="true" outlineLevel="0" collapsed="false">
      <c r="A30" s="8" t="s">
        <v>212</v>
      </c>
      <c r="B30" s="24" t="n">
        <f aca="false">WEEKDAY(B5,2)</f>
        <v>2</v>
      </c>
      <c r="C30" s="16" t="s">
        <v>213</v>
      </c>
      <c r="D30" s="20" t="s">
        <v>214</v>
      </c>
    </row>
    <row r="31" customFormat="false" ht="15" hidden="false" customHeight="true" outlineLevel="0" collapsed="false">
      <c r="A31" s="8" t="s">
        <v>215</v>
      </c>
      <c r="B31" s="23" t="str">
        <f aca="false">TEXT(B5,"MMMM YYYY")</f>
        <v>November 2016</v>
      </c>
      <c r="C31" s="19" t="s">
        <v>216</v>
      </c>
      <c r="D31" s="21" t="s">
        <v>217</v>
      </c>
    </row>
    <row r="32" customFormat="false" ht="15" hidden="false" customHeight="true" outlineLevel="0" collapsed="false">
      <c r="A32" s="8" t="s">
        <v>218</v>
      </c>
      <c r="B32" s="24" t="n">
        <f aca="false">EOMONTH(B5,0)</f>
        <v>42704</v>
      </c>
      <c r="C32" s="16" t="s">
        <v>219</v>
      </c>
      <c r="D32" s="20" t="s">
        <v>220</v>
      </c>
    </row>
    <row r="33" customFormat="false" ht="15" hidden="false" customHeight="true" outlineLevel="0" collapsed="false">
      <c r="A33" s="8" t="s">
        <v>221</v>
      </c>
      <c r="B33" s="23" t="n">
        <f aca="false">NETWORKDAYS(B5,C5)</f>
        <v>4</v>
      </c>
      <c r="C33" s="19" t="s">
        <v>222</v>
      </c>
      <c r="D33" s="21" t="s">
        <v>223</v>
      </c>
    </row>
    <row r="34" customFormat="false" ht="15" hidden="false" customHeight="true" outlineLevel="0" collapsed="false">
      <c r="A34" s="8" t="s">
        <v>224</v>
      </c>
      <c r="B34" s="24" t="n">
        <f aca="false">DATEDIF(B5,C5,"D")</f>
        <v>3</v>
      </c>
      <c r="C34" s="16" t="s">
        <v>225</v>
      </c>
      <c r="D34" s="20" t="s">
        <v>226</v>
      </c>
    </row>
  </sheetData>
  <mergeCells count="3">
    <mergeCell ref="A1:I1"/>
    <mergeCell ref="A3:I3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5" min="4" style="1" width="13"/>
    <col collapsed="false" customWidth="true" hidden="false" outlineLevel="0" max="6" min="6" style="1" width="14"/>
    <col collapsed="false" customWidth="true" hidden="false" outlineLevel="0" max="8" min="7" style="1" width="20"/>
    <col collapsed="false" customWidth="true" hidden="false" outlineLevel="0" max="10" min="9" style="1" width="16"/>
  </cols>
  <sheetData>
    <row r="1" customFormat="false" ht="30" hidden="false" customHeight="true" outlineLevel="0" collapsed="false">
      <c r="A1" s="65" t="s">
        <v>227</v>
      </c>
      <c r="B1" s="65"/>
      <c r="C1" s="65"/>
      <c r="D1" s="65"/>
      <c r="E1" s="65"/>
      <c r="F1" s="65"/>
      <c r="G1" s="65"/>
      <c r="H1" s="65"/>
      <c r="I1" s="65"/>
      <c r="J1" s="65"/>
    </row>
    <row r="3" customFormat="false" ht="21.75" hidden="false" customHeight="true" outlineLevel="0" collapsed="false">
      <c r="A3" s="66" t="s">
        <v>228</v>
      </c>
      <c r="B3" s="66"/>
      <c r="C3" s="66"/>
      <c r="D3" s="66"/>
      <c r="E3" s="66"/>
      <c r="F3" s="66"/>
      <c r="G3" s="66"/>
      <c r="H3" s="66"/>
      <c r="I3" s="66"/>
      <c r="J3" s="66"/>
    </row>
    <row r="4" customFormat="false" ht="36" hidden="false" customHeight="true" outlineLevel="0" collapsed="false">
      <c r="A4" s="67" t="s">
        <v>229</v>
      </c>
      <c r="B4" s="67" t="s">
        <v>57</v>
      </c>
      <c r="C4" s="67" t="s">
        <v>29</v>
      </c>
      <c r="D4" s="67" t="s">
        <v>3</v>
      </c>
      <c r="E4" s="67" t="s">
        <v>230</v>
      </c>
      <c r="F4" s="67" t="s">
        <v>231</v>
      </c>
      <c r="G4" s="67" t="s">
        <v>232</v>
      </c>
      <c r="H4" s="67" t="s">
        <v>233</v>
      </c>
      <c r="I4" s="67" t="s">
        <v>234</v>
      </c>
      <c r="J4" s="67" t="s">
        <v>235</v>
      </c>
    </row>
    <row r="5" customFormat="false" ht="15" hidden="false" customHeight="true" outlineLevel="0" collapsed="false">
      <c r="A5" s="68" t="s">
        <v>236</v>
      </c>
      <c r="B5" s="69" t="s">
        <v>64</v>
      </c>
      <c r="C5" s="68" t="s">
        <v>237</v>
      </c>
      <c r="D5" s="70" t="n">
        <v>261.96</v>
      </c>
      <c r="E5" s="70" t="n">
        <v>15000</v>
      </c>
      <c r="F5" s="71" t="str">
        <f aca="false">IF(D5&gt;=E5,"✅ High","❌ Low")</f>
        <v>❌ Low</v>
      </c>
      <c r="G5" s="71" t="str">
        <f aca="false">IF(AND(D5&gt;=E5,B5="East"),"Yes","No")</f>
        <v>No</v>
      </c>
      <c r="H5" s="71" t="str">
        <f aca="false">IF(OR(D5&gt;=5000,B5="West"),"Yes","No")</f>
        <v>No</v>
      </c>
      <c r="I5" s="71" t="str">
        <f aca="false">IF(D5&gt;=10000,"High",IF(D5&gt;=5000,"Mid","Low"))</f>
        <v>Low</v>
      </c>
      <c r="J5" s="72" t="n">
        <f aca="false">IFERROR(D5/E5,"N/A")</f>
        <v>0.017464</v>
      </c>
    </row>
    <row r="6" customFormat="false" ht="15" hidden="false" customHeight="true" outlineLevel="0" collapsed="false">
      <c r="A6" s="73" t="s">
        <v>238</v>
      </c>
      <c r="B6" s="74" t="s">
        <v>68</v>
      </c>
      <c r="C6" s="73" t="s">
        <v>32</v>
      </c>
      <c r="D6" s="75" t="n">
        <v>14.62</v>
      </c>
      <c r="E6" s="75" t="n">
        <v>5000</v>
      </c>
      <c r="F6" s="76" t="str">
        <f aca="false">IF(D6&gt;=E6,"✅ High","❌ Low")</f>
        <v>❌ Low</v>
      </c>
      <c r="G6" s="76" t="str">
        <f aca="false">IF(AND(D6&gt;=E6,B6="East"),"Yes","No")</f>
        <v>No</v>
      </c>
      <c r="H6" s="76" t="str">
        <f aca="false">IF(OR(D6&gt;=5000,B6="West"),"Yes","No")</f>
        <v>Yes</v>
      </c>
      <c r="I6" s="76" t="str">
        <f aca="false">IF(D6&gt;=10000,"High",IF(D6&gt;=5000,"Mid","Low"))</f>
        <v>Low</v>
      </c>
      <c r="J6" s="77" t="n">
        <f aca="false">IFERROR(D6/E6,"N/A")</f>
        <v>0.002924</v>
      </c>
    </row>
    <row r="7" customFormat="false" ht="15" hidden="false" customHeight="true" outlineLevel="0" collapsed="false">
      <c r="A7" s="68" t="s">
        <v>239</v>
      </c>
      <c r="B7" s="69" t="s">
        <v>64</v>
      </c>
      <c r="C7" s="68" t="s">
        <v>237</v>
      </c>
      <c r="D7" s="70" t="n">
        <v>957.58</v>
      </c>
      <c r="E7" s="70" t="n">
        <v>7500</v>
      </c>
      <c r="F7" s="71" t="str">
        <f aca="false">IF(D7&gt;=E7,"✅ High","❌ Low")</f>
        <v>❌ Low</v>
      </c>
      <c r="G7" s="71" t="str">
        <f aca="false">IF(AND(D7&gt;=E7,B7="East"),"Yes","No")</f>
        <v>No</v>
      </c>
      <c r="H7" s="71" t="str">
        <f aca="false">IF(OR(D7&gt;=5000,B7="West"),"Yes","No")</f>
        <v>No</v>
      </c>
      <c r="I7" s="71" t="str">
        <f aca="false">IF(D7&gt;=10000,"High",IF(D7&gt;=5000,"Mid","Low"))</f>
        <v>Low</v>
      </c>
      <c r="J7" s="72" t="n">
        <f aca="false">IFERROR(D7/E7,"N/A")</f>
        <v>0.127677333333333</v>
      </c>
    </row>
    <row r="8" customFormat="false" ht="15" hidden="false" customHeight="true" outlineLevel="0" collapsed="false">
      <c r="A8" s="73" t="s">
        <v>240</v>
      </c>
      <c r="B8" s="74" t="s">
        <v>68</v>
      </c>
      <c r="C8" s="73" t="s">
        <v>237</v>
      </c>
      <c r="D8" s="75" t="n">
        <v>48.86</v>
      </c>
      <c r="E8" s="75" t="n">
        <v>5000</v>
      </c>
      <c r="F8" s="76" t="str">
        <f aca="false">IF(D8&gt;=E8,"✅ High","❌ Low")</f>
        <v>❌ Low</v>
      </c>
      <c r="G8" s="76" t="str">
        <f aca="false">IF(AND(D8&gt;=E8,B8="East"),"Yes","No")</f>
        <v>No</v>
      </c>
      <c r="H8" s="76" t="str">
        <f aca="false">IF(OR(D8&gt;=5000,B8="West"),"Yes","No")</f>
        <v>Yes</v>
      </c>
      <c r="I8" s="76" t="str">
        <f aca="false">IF(D8&gt;=10000,"High",IF(D8&gt;=5000,"Mid","Low"))</f>
        <v>Low</v>
      </c>
      <c r="J8" s="77" t="n">
        <f aca="false">IFERROR(D8/E8,"N/A")</f>
        <v>0.009772</v>
      </c>
    </row>
    <row r="9" customFormat="false" ht="15" hidden="false" customHeight="true" outlineLevel="0" collapsed="false">
      <c r="A9" s="68" t="s">
        <v>241</v>
      </c>
      <c r="B9" s="69" t="s">
        <v>64</v>
      </c>
      <c r="C9" s="68" t="s">
        <v>32</v>
      </c>
      <c r="D9" s="70" t="n">
        <v>15.55</v>
      </c>
      <c r="E9" s="70" t="n">
        <v>8000</v>
      </c>
      <c r="F9" s="71" t="str">
        <f aca="false">IF(D9&gt;=E9,"✅ High","❌ Low")</f>
        <v>❌ Low</v>
      </c>
      <c r="G9" s="71" t="str">
        <f aca="false">IF(AND(D9&gt;=E9,B9="East"),"Yes","No")</f>
        <v>No</v>
      </c>
      <c r="H9" s="71" t="str">
        <f aca="false">IF(OR(D9&gt;=5000,B9="West"),"Yes","No")</f>
        <v>No</v>
      </c>
      <c r="I9" s="71" t="str">
        <f aca="false">IF(D9&gt;=10000,"High",IF(D9&gt;=5000,"Mid","Low"))</f>
        <v>Low</v>
      </c>
      <c r="J9" s="72" t="n">
        <f aca="false">IFERROR(D9/E9,"N/A")</f>
        <v>0.00194375</v>
      </c>
    </row>
    <row r="10" customFormat="false" ht="15" hidden="false" customHeight="true" outlineLevel="0" collapsed="false">
      <c r="A10" s="73" t="s">
        <v>242</v>
      </c>
      <c r="B10" s="74" t="s">
        <v>68</v>
      </c>
      <c r="C10" s="73" t="s">
        <v>32</v>
      </c>
      <c r="D10" s="75" t="n">
        <v>407.98</v>
      </c>
      <c r="E10" s="75" t="n">
        <v>6000</v>
      </c>
      <c r="F10" s="76" t="str">
        <f aca="false">IF(D10&gt;=E10,"✅ High","❌ Low")</f>
        <v>❌ Low</v>
      </c>
      <c r="G10" s="76" t="str">
        <f aca="false">IF(AND(D10&gt;=E10,B10="East"),"Yes","No")</f>
        <v>No</v>
      </c>
      <c r="H10" s="76" t="str">
        <f aca="false">IF(OR(D10&gt;=5000,B10="West"),"Yes","No")</f>
        <v>Yes</v>
      </c>
      <c r="I10" s="76" t="str">
        <f aca="false">IF(D10&gt;=10000,"High",IF(D10&gt;=5000,"Mid","Low"))</f>
        <v>Low</v>
      </c>
      <c r="J10" s="77" t="n">
        <f aca="false">IFERROR(D10/E10,"N/A")</f>
        <v>0.0679966666666667</v>
      </c>
    </row>
    <row r="11" customFormat="false" ht="15" hidden="false" customHeight="true" outlineLevel="0" collapsed="false">
      <c r="A11" s="68" t="s">
        <v>243</v>
      </c>
      <c r="B11" s="69" t="s">
        <v>67</v>
      </c>
      <c r="C11" s="68" t="s">
        <v>32</v>
      </c>
      <c r="D11" s="70" t="n">
        <v>68.81</v>
      </c>
      <c r="E11" s="70" t="n">
        <v>12000</v>
      </c>
      <c r="F11" s="71" t="str">
        <f aca="false">IF(D11&gt;=E11,"✅ High","❌ Low")</f>
        <v>❌ Low</v>
      </c>
      <c r="G11" s="71" t="str">
        <f aca="false">IF(AND(D11&gt;=E11,B11="East"),"Yes","No")</f>
        <v>No</v>
      </c>
      <c r="H11" s="71" t="str">
        <f aca="false">IF(OR(D11&gt;=5000,B11="West"),"Yes","No")</f>
        <v>No</v>
      </c>
      <c r="I11" s="71" t="str">
        <f aca="false">IF(D11&gt;=10000,"High",IF(D11&gt;=5000,"Mid","Low"))</f>
        <v>Low</v>
      </c>
      <c r="J11" s="72" t="n">
        <f aca="false">IFERROR(D11/E11,"N/A")</f>
        <v>0.00573416666666667</v>
      </c>
    </row>
    <row r="12" customFormat="false" ht="15" hidden="false" customHeight="true" outlineLevel="0" collapsed="false">
      <c r="A12" s="73" t="s">
        <v>244</v>
      </c>
      <c r="B12" s="74" t="s">
        <v>67</v>
      </c>
      <c r="C12" s="73" t="s">
        <v>32</v>
      </c>
      <c r="D12" s="75" t="n">
        <v>665.88</v>
      </c>
      <c r="E12" s="75" t="n">
        <v>1000</v>
      </c>
      <c r="F12" s="76" t="str">
        <f aca="false">IF(D12&gt;=E12,"✅ High","❌ Low")</f>
        <v>❌ Low</v>
      </c>
      <c r="G12" s="76" t="str">
        <f aca="false">IF(AND(D12&gt;=E12,B12="East"),"Yes","No")</f>
        <v>No</v>
      </c>
      <c r="H12" s="76" t="str">
        <f aca="false">IF(OR(D12&gt;=5000,B12="West"),"Yes","No")</f>
        <v>No</v>
      </c>
      <c r="I12" s="76" t="str">
        <f aca="false">IF(D12&gt;=10000,"High",IF(D12&gt;=5000,"Mid","Low"))</f>
        <v>Low</v>
      </c>
      <c r="J12" s="77" t="n">
        <f aca="false">IFERROR(D12/E12,"N/A")</f>
        <v>0.66588</v>
      </c>
    </row>
    <row r="13" customFormat="false" ht="15" hidden="false" customHeight="true" outlineLevel="0" collapsed="false">
      <c r="A13" s="68" t="s">
        <v>245</v>
      </c>
      <c r="B13" s="69" t="s">
        <v>68</v>
      </c>
      <c r="C13" s="68" t="s">
        <v>32</v>
      </c>
      <c r="D13" s="70" t="n">
        <v>55.5</v>
      </c>
      <c r="E13" s="70" t="n">
        <v>10000</v>
      </c>
      <c r="F13" s="71" t="str">
        <f aca="false">IF(D13&gt;=E13,"✅ High","❌ Low")</f>
        <v>❌ Low</v>
      </c>
      <c r="G13" s="71" t="str">
        <f aca="false">IF(AND(D13&gt;=E13,B13="East"),"Yes","No")</f>
        <v>No</v>
      </c>
      <c r="H13" s="71" t="str">
        <f aca="false">IF(OR(D13&gt;=5000,B13="West"),"Yes","No")</f>
        <v>Yes</v>
      </c>
      <c r="I13" s="71" t="str">
        <f aca="false">IF(D13&gt;=10000,"High",IF(D13&gt;=5000,"Mid","Low"))</f>
        <v>Low</v>
      </c>
      <c r="J13" s="72" t="n">
        <f aca="false">IFERROR(D13/E13,"N/A")</f>
        <v>0.00555</v>
      </c>
    </row>
    <row r="14" customFormat="false" ht="15" hidden="false" customHeight="true" outlineLevel="0" collapsed="false">
      <c r="A14" s="73" t="s">
        <v>246</v>
      </c>
      <c r="B14" s="74" t="s">
        <v>68</v>
      </c>
      <c r="C14" s="73" t="s">
        <v>32</v>
      </c>
      <c r="D14" s="75" t="n">
        <v>8.56</v>
      </c>
      <c r="E14" s="75" t="n">
        <v>3000</v>
      </c>
      <c r="F14" s="76" t="str">
        <f aca="false">IF(D14&gt;=E14,"✅ High","❌ Low")</f>
        <v>❌ Low</v>
      </c>
      <c r="G14" s="76" t="str">
        <f aca="false">IF(AND(D14&gt;=E14,B14="East"),"Yes","No")</f>
        <v>No</v>
      </c>
      <c r="H14" s="76" t="str">
        <f aca="false">IF(OR(D14&gt;=5000,B14="West"),"Yes","No")</f>
        <v>Yes</v>
      </c>
      <c r="I14" s="76" t="str">
        <f aca="false">IF(D14&gt;=10000,"High",IF(D14&gt;=5000,"Mid","Low"))</f>
        <v>Low</v>
      </c>
      <c r="J14" s="77" t="n">
        <f aca="false">IFERROR(D14/E14,"N/A")</f>
        <v>0.00285333333333333</v>
      </c>
    </row>
    <row r="15" customFormat="false" ht="15" hidden="false" customHeight="true" outlineLevel="0" collapsed="false">
      <c r="A15" s="68" t="s">
        <v>247</v>
      </c>
      <c r="B15" s="69" t="s">
        <v>67</v>
      </c>
      <c r="C15" s="68" t="s">
        <v>32</v>
      </c>
      <c r="D15" s="70" t="n">
        <v>19.46</v>
      </c>
      <c r="E15" s="70" t="n">
        <v>9000</v>
      </c>
      <c r="F15" s="71" t="str">
        <f aca="false">IF(D15&gt;=E15,"✅ High","❌ Low")</f>
        <v>❌ Low</v>
      </c>
      <c r="G15" s="71" t="str">
        <f aca="false">IF(AND(D15&gt;=E15,B15="East"),"Yes","No")</f>
        <v>No</v>
      </c>
      <c r="H15" s="71" t="str">
        <f aca="false">IF(OR(D15&gt;=5000,B15="West"),"Yes","No")</f>
        <v>No</v>
      </c>
      <c r="I15" s="71" t="str">
        <f aca="false">IF(D15&gt;=10000,"High",IF(D15&gt;=5000,"Mid","Low"))</f>
        <v>Low</v>
      </c>
      <c r="J15" s="72" t="n">
        <f aca="false">IFERROR(D15/E15,"N/A")</f>
        <v>0.00216222222222222</v>
      </c>
    </row>
    <row r="16" customFormat="false" ht="15" hidden="false" customHeight="true" outlineLevel="0" collapsed="false">
      <c r="A16" s="73" t="s">
        <v>248</v>
      </c>
      <c r="B16" s="74" t="s">
        <v>69</v>
      </c>
      <c r="C16" s="73" t="s">
        <v>237</v>
      </c>
      <c r="D16" s="75" t="n">
        <v>71.37</v>
      </c>
      <c r="E16" s="75" t="n">
        <v>2000</v>
      </c>
      <c r="F16" s="76" t="str">
        <f aca="false">IF(D16&gt;=E16,"✅ High","❌ Low")</f>
        <v>❌ Low</v>
      </c>
      <c r="G16" s="76" t="str">
        <f aca="false">IF(AND(D16&gt;=E16,B16="East"),"Yes","No")</f>
        <v>No</v>
      </c>
      <c r="H16" s="76" t="str">
        <f aca="false">IF(OR(D16&gt;=5000,B16="West"),"Yes","No")</f>
        <v>No</v>
      </c>
      <c r="I16" s="76" t="str">
        <f aca="false">IF(D16&gt;=10000,"High",IF(D16&gt;=5000,"Mid","Low"))</f>
        <v>Low</v>
      </c>
      <c r="J16" s="77" t="n">
        <f aca="false">IFERROR(D16/E16,"N/A")</f>
        <v>0.035685</v>
      </c>
    </row>
    <row r="17" customFormat="false" ht="15" hidden="false" customHeight="true" outlineLevel="0" collapsed="false">
      <c r="A17" s="68" t="s">
        <v>249</v>
      </c>
      <c r="B17" s="69" t="s">
        <v>68</v>
      </c>
      <c r="C17" s="68" t="s">
        <v>237</v>
      </c>
      <c r="D17" s="70" t="n">
        <v>1044.63</v>
      </c>
      <c r="E17" s="70" t="n">
        <v>4500</v>
      </c>
      <c r="F17" s="71" t="str">
        <f aca="false">IF(D17&gt;=E17,"✅ High","❌ Low")</f>
        <v>❌ Low</v>
      </c>
      <c r="G17" s="71" t="str">
        <f aca="false">IF(AND(D17&gt;=E17,B17="East"),"Yes","No")</f>
        <v>No</v>
      </c>
      <c r="H17" s="71" t="str">
        <f aca="false">IF(OR(D17&gt;=5000,B17="West"),"Yes","No")</f>
        <v>Yes</v>
      </c>
      <c r="I17" s="71" t="str">
        <f aca="false">IF(D17&gt;=10000,"High",IF(D17&gt;=5000,"Mid","Low"))</f>
        <v>Low</v>
      </c>
      <c r="J17" s="72" t="n">
        <f aca="false">IFERROR(D17/E17,"N/A")</f>
        <v>0.23214</v>
      </c>
    </row>
    <row r="18" customFormat="false" ht="15" hidden="false" customHeight="true" outlineLevel="0" collapsed="false">
      <c r="A18" s="73" t="s">
        <v>250</v>
      </c>
      <c r="B18" s="74" t="s">
        <v>68</v>
      </c>
      <c r="C18" s="73" t="s">
        <v>32</v>
      </c>
      <c r="D18" s="75" t="n">
        <v>11.65</v>
      </c>
      <c r="E18" s="75" t="n">
        <v>11000</v>
      </c>
      <c r="F18" s="76" t="str">
        <f aca="false">IF(D18&gt;=E18,"✅ High","❌ Low")</f>
        <v>❌ Low</v>
      </c>
      <c r="G18" s="76" t="str">
        <f aca="false">IF(AND(D18&gt;=E18,B18="East"),"Yes","No")</f>
        <v>No</v>
      </c>
      <c r="H18" s="76" t="str">
        <f aca="false">IF(OR(D18&gt;=5000,B18="West"),"Yes","No")</f>
        <v>Yes</v>
      </c>
      <c r="I18" s="76" t="str">
        <f aca="false">IF(D18&gt;=10000,"High",IF(D18&gt;=5000,"Mid","Low"))</f>
        <v>Low</v>
      </c>
      <c r="J18" s="77" t="n">
        <f aca="false">IFERROR(D18/E18,"N/A")</f>
        <v>0.00105909090909091</v>
      </c>
    </row>
    <row r="19" customFormat="false" ht="15" hidden="false" customHeight="true" outlineLevel="0" collapsed="false">
      <c r="A19" s="68" t="s">
        <v>251</v>
      </c>
      <c r="B19" s="69" t="s">
        <v>69</v>
      </c>
      <c r="C19" s="68" t="s">
        <v>237</v>
      </c>
      <c r="D19" s="70" t="n">
        <v>3083.43</v>
      </c>
      <c r="E19" s="70" t="n">
        <v>6500</v>
      </c>
      <c r="F19" s="71" t="str">
        <f aca="false">IF(D19&gt;=E19,"✅ High","❌ Low")</f>
        <v>❌ Low</v>
      </c>
      <c r="G19" s="71" t="str">
        <f aca="false">IF(AND(D19&gt;=E19,B19="East"),"Yes","No")</f>
        <v>No</v>
      </c>
      <c r="H19" s="71" t="str">
        <f aca="false">IF(OR(D19&gt;=5000,B19="West"),"Yes","No")</f>
        <v>No</v>
      </c>
      <c r="I19" s="71" t="str">
        <f aca="false">IF(D19&gt;=10000,"High",IF(D19&gt;=5000,"Mid","Low"))</f>
        <v>Low</v>
      </c>
      <c r="J19" s="72" t="n">
        <f aca="false">IFERROR(D19/E19,"N/A")</f>
        <v>0.474373846153846</v>
      </c>
    </row>
    <row r="20" customFormat="false" ht="15" hidden="false" customHeight="true" outlineLevel="0" collapsed="false">
      <c r="A20" s="73" t="s">
        <v>252</v>
      </c>
      <c r="B20" s="74" t="s">
        <v>67</v>
      </c>
      <c r="C20" s="73" t="s">
        <v>32</v>
      </c>
      <c r="D20" s="75" t="n">
        <v>29.47</v>
      </c>
      <c r="E20" s="75" t="n">
        <v>800</v>
      </c>
      <c r="F20" s="76" t="str">
        <f aca="false">IF(D20&gt;=E20,"✅ High","❌ Low")</f>
        <v>❌ Low</v>
      </c>
      <c r="G20" s="76" t="str">
        <f aca="false">IF(AND(D20&gt;=E20,B20="East"),"Yes","No")</f>
        <v>No</v>
      </c>
      <c r="H20" s="76" t="str">
        <f aca="false">IF(OR(D20&gt;=5000,B20="West"),"Yes","No")</f>
        <v>No</v>
      </c>
      <c r="I20" s="76" t="str">
        <f aca="false">IF(D20&gt;=10000,"High",IF(D20&gt;=5000,"Mid","Low"))</f>
        <v>Low</v>
      </c>
      <c r="J20" s="77" t="n">
        <f aca="false">IFERROR(D20/E20,"N/A")</f>
        <v>0.0368375</v>
      </c>
    </row>
    <row r="21" customFormat="false" ht="15" hidden="false" customHeight="true" outlineLevel="0" collapsed="false">
      <c r="A21" s="68" t="s">
        <v>253</v>
      </c>
      <c r="B21" s="69" t="s">
        <v>67</v>
      </c>
      <c r="C21" s="68" t="s">
        <v>37</v>
      </c>
      <c r="D21" s="70" t="n">
        <v>1097.54</v>
      </c>
      <c r="E21" s="70" t="n">
        <v>7000</v>
      </c>
      <c r="F21" s="71" t="str">
        <f aca="false">IF(D21&gt;=E21,"✅ High","❌ Low")</f>
        <v>❌ Low</v>
      </c>
      <c r="G21" s="71" t="str">
        <f aca="false">IF(AND(D21&gt;=E21,B21="East"),"Yes","No")</f>
        <v>No</v>
      </c>
      <c r="H21" s="71" t="str">
        <f aca="false">IF(OR(D21&gt;=5000,B21="West"),"Yes","No")</f>
        <v>No</v>
      </c>
      <c r="I21" s="71" t="str">
        <f aca="false">IF(D21&gt;=10000,"High",IF(D21&gt;=5000,"Mid","Low"))</f>
        <v>Low</v>
      </c>
      <c r="J21" s="72" t="n">
        <f aca="false">IFERROR(D21/E21,"N/A")</f>
        <v>0.156791428571429</v>
      </c>
    </row>
    <row r="22" customFormat="false" ht="15" hidden="false" customHeight="true" outlineLevel="0" collapsed="false">
      <c r="A22" s="73" t="s">
        <v>254</v>
      </c>
      <c r="B22" s="74" t="s">
        <v>67</v>
      </c>
      <c r="C22" s="73" t="s">
        <v>32</v>
      </c>
      <c r="D22" s="75" t="n">
        <v>113.33</v>
      </c>
      <c r="E22" s="75" t="n">
        <v>13000</v>
      </c>
      <c r="F22" s="76" t="str">
        <f aca="false">IF(D22&gt;=E22,"✅ High","❌ Low")</f>
        <v>❌ Low</v>
      </c>
      <c r="G22" s="76" t="str">
        <f aca="false">IF(AND(D22&gt;=E22,B22="East"),"Yes","No")</f>
        <v>No</v>
      </c>
      <c r="H22" s="76" t="str">
        <f aca="false">IF(OR(D22&gt;=5000,B22="West"),"Yes","No")</f>
        <v>No</v>
      </c>
      <c r="I22" s="76" t="str">
        <f aca="false">IF(D22&gt;=10000,"High",IF(D22&gt;=5000,"Mid","Low"))</f>
        <v>Low</v>
      </c>
      <c r="J22" s="77" t="n">
        <f aca="false">IFERROR(D22/E22,"N/A")</f>
        <v>0.00871769230769231</v>
      </c>
    </row>
    <row r="23" customFormat="false" ht="15" hidden="false" customHeight="true" outlineLevel="0" collapsed="false">
      <c r="A23" s="68" t="s">
        <v>255</v>
      </c>
      <c r="B23" s="69" t="s">
        <v>67</v>
      </c>
      <c r="C23" s="68" t="s">
        <v>37</v>
      </c>
      <c r="D23" s="70" t="n">
        <v>147.17</v>
      </c>
      <c r="E23" s="70" t="n">
        <v>3500</v>
      </c>
      <c r="F23" s="71" t="str">
        <f aca="false">IF(D23&gt;=E23,"✅ High","❌ Low")</f>
        <v>❌ Low</v>
      </c>
      <c r="G23" s="71" t="str">
        <f aca="false">IF(AND(D23&gt;=E23,B23="East"),"Yes","No")</f>
        <v>No</v>
      </c>
      <c r="H23" s="71" t="str">
        <f aca="false">IF(OR(D23&gt;=5000,B23="West"),"Yes","No")</f>
        <v>No</v>
      </c>
      <c r="I23" s="71" t="str">
        <f aca="false">IF(D23&gt;=10000,"High",IF(D23&gt;=5000,"Mid","Low"))</f>
        <v>Low</v>
      </c>
      <c r="J23" s="72" t="n">
        <f aca="false">IFERROR(D23/E23,"N/A")</f>
        <v>0.0420485714285714</v>
      </c>
    </row>
    <row r="24" customFormat="false" ht="15" hidden="false" customHeight="true" outlineLevel="0" collapsed="false">
      <c r="A24" s="73" t="s">
        <v>256</v>
      </c>
      <c r="B24" s="74" t="s">
        <v>68</v>
      </c>
      <c r="C24" s="73" t="s">
        <v>32</v>
      </c>
      <c r="D24" s="75" t="n">
        <v>77.88</v>
      </c>
      <c r="E24" s="75" t="n">
        <v>9500</v>
      </c>
      <c r="F24" s="76" t="str">
        <f aca="false">IF(D24&gt;=E24,"✅ High","❌ Low")</f>
        <v>❌ Low</v>
      </c>
      <c r="G24" s="76" t="str">
        <f aca="false">IF(AND(D24&gt;=E24,B24="East"),"Yes","No")</f>
        <v>No</v>
      </c>
      <c r="H24" s="76" t="str">
        <f aca="false">IF(OR(D24&gt;=5000,B24="West"),"Yes","No")</f>
        <v>Yes</v>
      </c>
      <c r="I24" s="76" t="str">
        <f aca="false">IF(D24&gt;=10000,"High",IF(D24&gt;=5000,"Mid","Low"))</f>
        <v>Low</v>
      </c>
      <c r="J24" s="77" t="n">
        <f aca="false">IFERROR(D24/E24,"N/A")</f>
        <v>0.00819789473684211</v>
      </c>
    </row>
    <row r="26" customFormat="false" ht="21.75" hidden="false" customHeight="true" outlineLevel="0" collapsed="false">
      <c r="A26" s="78" t="s">
        <v>257</v>
      </c>
      <c r="B26" s="78"/>
      <c r="C26" s="78"/>
      <c r="D26" s="78"/>
      <c r="E26" s="78"/>
      <c r="F26" s="78"/>
      <c r="G26" s="78"/>
      <c r="H26" s="78"/>
      <c r="I26" s="78"/>
      <c r="J26" s="78"/>
    </row>
    <row r="27" customFormat="false" ht="19.5" hidden="false" customHeight="true" outlineLevel="0" collapsed="false">
      <c r="A27" s="79" t="s">
        <v>258</v>
      </c>
      <c r="B27" s="79" t="s">
        <v>191</v>
      </c>
      <c r="C27" s="79"/>
      <c r="D27" s="79"/>
      <c r="E27" s="79"/>
      <c r="F27" s="79" t="s">
        <v>259</v>
      </c>
      <c r="G27" s="79"/>
      <c r="H27" s="79"/>
      <c r="I27" s="79"/>
      <c r="J27" s="79"/>
    </row>
    <row r="28" customFormat="false" ht="15" hidden="false" customHeight="true" outlineLevel="0" collapsed="false">
      <c r="A28" s="80" t="s">
        <v>260</v>
      </c>
      <c r="B28" s="81" t="s">
        <v>261</v>
      </c>
      <c r="C28" s="81"/>
      <c r="D28" s="81"/>
      <c r="E28" s="81"/>
      <c r="F28" s="73" t="s">
        <v>262</v>
      </c>
      <c r="G28" s="73"/>
      <c r="H28" s="73"/>
      <c r="I28" s="73"/>
      <c r="J28" s="73"/>
    </row>
    <row r="29" customFormat="false" ht="15" hidden="false" customHeight="true" outlineLevel="0" collapsed="false">
      <c r="A29" s="82" t="s">
        <v>263</v>
      </c>
      <c r="B29" s="83" t="s">
        <v>264</v>
      </c>
      <c r="C29" s="83"/>
      <c r="D29" s="83"/>
      <c r="E29" s="83"/>
      <c r="F29" s="68" t="s">
        <v>265</v>
      </c>
      <c r="G29" s="68"/>
      <c r="H29" s="68"/>
      <c r="I29" s="68"/>
      <c r="J29" s="68"/>
    </row>
    <row r="30" customFormat="false" ht="15" hidden="false" customHeight="true" outlineLevel="0" collapsed="false">
      <c r="A30" s="80" t="s">
        <v>266</v>
      </c>
      <c r="B30" s="81" t="s">
        <v>267</v>
      </c>
      <c r="C30" s="81"/>
      <c r="D30" s="81"/>
      <c r="E30" s="81"/>
      <c r="F30" s="73" t="s">
        <v>268</v>
      </c>
      <c r="G30" s="73"/>
      <c r="H30" s="73"/>
      <c r="I30" s="73"/>
      <c r="J30" s="73"/>
    </row>
    <row r="31" customFormat="false" ht="15" hidden="false" customHeight="true" outlineLevel="0" collapsed="false">
      <c r="A31" s="82" t="s">
        <v>269</v>
      </c>
      <c r="B31" s="83" t="s">
        <v>270</v>
      </c>
      <c r="C31" s="83"/>
      <c r="D31" s="83"/>
      <c r="E31" s="83"/>
      <c r="F31" s="68" t="s">
        <v>271</v>
      </c>
      <c r="G31" s="68"/>
      <c r="H31" s="68"/>
      <c r="I31" s="68"/>
      <c r="J31" s="68"/>
    </row>
    <row r="32" customFormat="false" ht="15" hidden="false" customHeight="true" outlineLevel="0" collapsed="false">
      <c r="A32" s="80" t="s">
        <v>272</v>
      </c>
      <c r="B32" s="81" t="s">
        <v>273</v>
      </c>
      <c r="C32" s="81"/>
      <c r="D32" s="81"/>
      <c r="E32" s="81"/>
      <c r="F32" s="73" t="s">
        <v>274</v>
      </c>
      <c r="G32" s="73"/>
      <c r="H32" s="73"/>
      <c r="I32" s="73"/>
      <c r="J32" s="73"/>
    </row>
    <row r="33" customFormat="false" ht="15" hidden="false" customHeight="true" outlineLevel="0" collapsed="false">
      <c r="A33" s="82" t="s">
        <v>275</v>
      </c>
      <c r="B33" s="83" t="s">
        <v>276</v>
      </c>
      <c r="C33" s="83"/>
      <c r="D33" s="83"/>
      <c r="E33" s="83"/>
      <c r="F33" s="68" t="s">
        <v>277</v>
      </c>
      <c r="G33" s="68"/>
      <c r="H33" s="68"/>
      <c r="I33" s="68"/>
      <c r="J33" s="68"/>
    </row>
    <row r="36" customFormat="false" ht="15" hidden="false" customHeight="true" outlineLevel="0" collapsed="false">
      <c r="C36" s="84"/>
      <c r="D36" s="84"/>
      <c r="E36" s="84"/>
      <c r="F36" s="84"/>
      <c r="G36" s="84"/>
      <c r="H36" s="84"/>
      <c r="I36" s="84"/>
      <c r="J36" s="84"/>
      <c r="K36" s="84"/>
    </row>
    <row r="37" customFormat="false" ht="15" hidden="false" customHeight="true" outlineLevel="0" collapsed="false">
      <c r="C37" s="84"/>
      <c r="D37" s="84"/>
      <c r="E37" s="84"/>
      <c r="F37" s="84"/>
      <c r="G37" s="84"/>
      <c r="H37" s="84"/>
      <c r="I37" s="84"/>
      <c r="J37" s="84"/>
      <c r="K37" s="84"/>
    </row>
    <row r="38" customFormat="false" ht="15" hidden="false" customHeight="true" outlineLevel="0" collapsed="false">
      <c r="C38" s="84"/>
      <c r="D38" s="84"/>
      <c r="E38" s="84"/>
      <c r="F38" s="84"/>
      <c r="G38" s="84"/>
      <c r="H38" s="84"/>
      <c r="I38" s="84"/>
      <c r="J38" s="84"/>
      <c r="K38" s="84"/>
    </row>
    <row r="39" customFormat="false" ht="15" hidden="false" customHeight="true" outlineLevel="0" collapsed="false">
      <c r="C39" s="84"/>
      <c r="D39" s="84"/>
      <c r="E39" s="84"/>
      <c r="F39" s="84"/>
      <c r="G39" s="84"/>
      <c r="H39" s="84"/>
      <c r="I39" s="84"/>
      <c r="J39" s="84"/>
      <c r="K39" s="84"/>
    </row>
    <row r="40" customFormat="false" ht="15" hidden="false" customHeight="true" outlineLevel="0" collapsed="false">
      <c r="C40" s="84"/>
      <c r="D40" s="84"/>
      <c r="E40" s="84"/>
      <c r="F40" s="84"/>
      <c r="G40" s="84"/>
      <c r="H40" s="84"/>
      <c r="I40" s="84"/>
      <c r="J40" s="84"/>
      <c r="K40" s="84"/>
    </row>
  </sheetData>
  <mergeCells count="22">
    <mergeCell ref="A1:J1"/>
    <mergeCell ref="A3:J3"/>
    <mergeCell ref="A26:J26"/>
    <mergeCell ref="B27:E27"/>
    <mergeCell ref="F27:J27"/>
    <mergeCell ref="B28:E28"/>
    <mergeCell ref="F28:J28"/>
    <mergeCell ref="B29:E29"/>
    <mergeCell ref="F29:J29"/>
    <mergeCell ref="B30:E30"/>
    <mergeCell ref="F30:J30"/>
    <mergeCell ref="B31:E31"/>
    <mergeCell ref="F31:J31"/>
    <mergeCell ref="B32:E32"/>
    <mergeCell ref="F32:J32"/>
    <mergeCell ref="B33:E33"/>
    <mergeCell ref="F33:J33"/>
    <mergeCell ref="C36:K36"/>
    <mergeCell ref="C37:K37"/>
    <mergeCell ref="C38:K38"/>
    <mergeCell ref="C39:K39"/>
    <mergeCell ref="C40:K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5" min="3" style="1" width="16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10" min="9" style="1" width="14"/>
    <col collapsed="false" customWidth="true" hidden="false" outlineLevel="0" max="11" min="11" style="1" width="16"/>
  </cols>
  <sheetData>
    <row r="1" customFormat="false" ht="30" hidden="false" customHeight="true" outlineLevel="0" collapsed="false">
      <c r="A1" s="65" t="s">
        <v>278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3" customFormat="false" ht="21.75" hidden="false" customHeight="true" outlineLevel="0" collapsed="false">
      <c r="A3" s="66" t="s">
        <v>279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customFormat="false" ht="36" hidden="false" customHeight="true" outlineLevel="0" collapsed="false">
      <c r="A4" s="67" t="s">
        <v>163</v>
      </c>
      <c r="B4" s="67" t="s">
        <v>280</v>
      </c>
      <c r="C4" s="67" t="s">
        <v>281</v>
      </c>
      <c r="D4" s="67" t="s">
        <v>282</v>
      </c>
      <c r="E4" s="67" t="s">
        <v>283</v>
      </c>
      <c r="F4" s="67" t="s">
        <v>284</v>
      </c>
      <c r="G4" s="67" t="s">
        <v>285</v>
      </c>
      <c r="H4" s="67" t="s">
        <v>286</v>
      </c>
      <c r="I4" s="67" t="s">
        <v>287</v>
      </c>
      <c r="J4" s="67" t="s">
        <v>288</v>
      </c>
      <c r="K4" s="67" t="s">
        <v>289</v>
      </c>
    </row>
    <row r="5" customFormat="false" ht="15" hidden="false" customHeight="true" outlineLevel="0" collapsed="false">
      <c r="A5" s="69" t="s">
        <v>171</v>
      </c>
      <c r="B5" s="68" t="s">
        <v>290</v>
      </c>
      <c r="C5" s="71" t="str">
        <f aca="false">UPPER(B5)</f>
        <v>  CLAIRE  GUTE  </v>
      </c>
      <c r="D5" s="71" t="str">
        <f aca="false">PROPER(TRIM(B5))</f>
        <v>Claire Gute</v>
      </c>
      <c r="E5" s="71" t="str">
        <f aca="false">LOWER(TRIM(B5))</f>
        <v>claire gute</v>
      </c>
      <c r="F5" s="71" t="str">
        <f aca="false">TRIM(B5)</f>
        <v>claire gute</v>
      </c>
      <c r="G5" s="85" t="n">
        <f aca="false">LEN(B5)</f>
        <v>16</v>
      </c>
      <c r="H5" s="85" t="n">
        <f aca="false">LEN(TRIM(B5))</f>
        <v>11</v>
      </c>
      <c r="I5" s="71" t="str">
        <f aca="false">LEFT(TRIM(B5),5)</f>
        <v>clair</v>
      </c>
      <c r="J5" s="71" t="str">
        <f aca="false">RIGHT(TRIM(B5),4)</f>
        <v>gute</v>
      </c>
      <c r="K5" s="71" t="str">
        <f aca="false">MID(TRIM(B5),4,3)</f>
        <v>ire</v>
      </c>
    </row>
    <row r="6" customFormat="false" ht="23.25" hidden="false" customHeight="true" outlineLevel="0" collapsed="false">
      <c r="A6" s="74" t="s">
        <v>173</v>
      </c>
      <c r="B6" s="73" t="s">
        <v>291</v>
      </c>
      <c r="C6" s="76" t="str">
        <f aca="false">UPPER(B6)</f>
        <v>DARRIN VAN HUFF</v>
      </c>
      <c r="D6" s="76" t="str">
        <f aca="false">PROPER(TRIM(B6))</f>
        <v>Darrin Van Huff</v>
      </c>
      <c r="E6" s="76" t="str">
        <f aca="false">LOWER(TRIM(B6))</f>
        <v>darrin van huff</v>
      </c>
      <c r="F6" s="76" t="str">
        <f aca="false">TRIM(B6)</f>
        <v>DARRIN VAN HUFF</v>
      </c>
      <c r="G6" s="86" t="n">
        <f aca="false">LEN(B6)</f>
        <v>15</v>
      </c>
      <c r="H6" s="86" t="n">
        <f aca="false">LEN(TRIM(B6))</f>
        <v>15</v>
      </c>
      <c r="I6" s="76" t="str">
        <f aca="false">LEFT(TRIM(B6),5)</f>
        <v>DARRI</v>
      </c>
      <c r="J6" s="76" t="str">
        <f aca="false">RIGHT(TRIM(B6),4)</f>
        <v>HUFF</v>
      </c>
      <c r="K6" s="76" t="str">
        <f aca="false">MID(TRIM(B6),4,3)</f>
        <v>RIN</v>
      </c>
    </row>
    <row r="7" customFormat="false" ht="23.25" hidden="false" customHeight="true" outlineLevel="0" collapsed="false">
      <c r="A7" s="69" t="s">
        <v>174</v>
      </c>
      <c r="B7" s="68" t="s">
        <v>292</v>
      </c>
      <c r="C7" s="71" t="str">
        <f aca="false">UPPER(B7)</f>
        <v>SEAN   O'DONNELL</v>
      </c>
      <c r="D7" s="71" t="str">
        <f aca="false">PROPER(TRIM(B7))</f>
        <v>Sean O'Donnell</v>
      </c>
      <c r="E7" s="71" t="str">
        <f aca="false">LOWER(TRIM(B7))</f>
        <v>sean o'donnell</v>
      </c>
      <c r="F7" s="71" t="str">
        <f aca="false">TRIM(B7)</f>
        <v>sean o'donnell</v>
      </c>
      <c r="G7" s="85" t="n">
        <f aca="false">LEN(B7)</f>
        <v>16</v>
      </c>
      <c r="H7" s="85" t="n">
        <f aca="false">LEN(TRIM(B7))</f>
        <v>14</v>
      </c>
      <c r="I7" s="71" t="str">
        <f aca="false">LEFT(TRIM(B7),5)</f>
        <v>sean </v>
      </c>
      <c r="J7" s="71" t="str">
        <f aca="false">RIGHT(TRIM(B7),4)</f>
        <v>nell</v>
      </c>
      <c r="K7" s="71" t="str">
        <f aca="false">MID(TRIM(B7),4,3)</f>
        <v>n o</v>
      </c>
    </row>
    <row r="8" customFormat="false" ht="23.25" hidden="false" customHeight="true" outlineLevel="0" collapsed="false">
      <c r="A8" s="74" t="s">
        <v>176</v>
      </c>
      <c r="B8" s="73" t="s">
        <v>293</v>
      </c>
      <c r="C8" s="76" t="str">
        <f aca="false">UPPER(B8)</f>
        <v>  BROSINA  HOFFMAN  </v>
      </c>
      <c r="D8" s="76" t="str">
        <f aca="false">PROPER(TRIM(B8))</f>
        <v>Brosina Hoffman</v>
      </c>
      <c r="E8" s="76" t="str">
        <f aca="false">LOWER(TRIM(B8))</f>
        <v>brosina hoffman</v>
      </c>
      <c r="F8" s="76" t="str">
        <f aca="false">TRIM(B8)</f>
        <v>brosina hoffman</v>
      </c>
      <c r="G8" s="86" t="n">
        <f aca="false">LEN(B8)</f>
        <v>20</v>
      </c>
      <c r="H8" s="86" t="n">
        <f aca="false">LEN(TRIM(B8))</f>
        <v>15</v>
      </c>
      <c r="I8" s="76" t="str">
        <f aca="false">LEFT(TRIM(B8),5)</f>
        <v>brosi</v>
      </c>
      <c r="J8" s="76" t="str">
        <f aca="false">RIGHT(TRIM(B8),4)</f>
        <v>fman</v>
      </c>
      <c r="K8" s="76" t="str">
        <f aca="false">MID(TRIM(B8),4,3)</f>
        <v>sin</v>
      </c>
    </row>
    <row r="9" customFormat="false" ht="15" hidden="false" customHeight="true" outlineLevel="0" collapsed="false">
      <c r="A9" s="69" t="s">
        <v>177</v>
      </c>
      <c r="B9" s="68" t="s">
        <v>294</v>
      </c>
      <c r="C9" s="71" t="str">
        <f aca="false">UPPER(B9)</f>
        <v>ANDREW   ALLEN</v>
      </c>
      <c r="D9" s="71" t="str">
        <f aca="false">PROPER(TRIM(B9))</f>
        <v>Andrew Allen</v>
      </c>
      <c r="E9" s="71" t="str">
        <f aca="false">LOWER(TRIM(B9))</f>
        <v>andrew allen</v>
      </c>
      <c r="F9" s="71" t="str">
        <f aca="false">TRIM(B9)</f>
        <v>ANDREW ALLEN</v>
      </c>
      <c r="G9" s="85" t="n">
        <f aca="false">LEN(B9)</f>
        <v>14</v>
      </c>
      <c r="H9" s="85" t="n">
        <f aca="false">LEN(TRIM(B9))</f>
        <v>12</v>
      </c>
      <c r="I9" s="71" t="str">
        <f aca="false">LEFT(TRIM(B9),5)</f>
        <v>ANDRE</v>
      </c>
      <c r="J9" s="71" t="str">
        <f aca="false">RIGHT(TRIM(B9),4)</f>
        <v>LLEN</v>
      </c>
      <c r="K9" s="71" t="str">
        <f aca="false">MID(TRIM(B9),4,3)</f>
        <v>REW</v>
      </c>
    </row>
    <row r="10" customFormat="false" ht="15" hidden="false" customHeight="true" outlineLevel="0" collapsed="false">
      <c r="A10" s="74" t="s">
        <v>178</v>
      </c>
      <c r="B10" s="73" t="s">
        <v>295</v>
      </c>
      <c r="C10" s="76" t="str">
        <f aca="false">UPPER(B10)</f>
        <v>IRENE  MADDOX</v>
      </c>
      <c r="D10" s="76" t="str">
        <f aca="false">PROPER(TRIM(B10))</f>
        <v>Irene Maddox</v>
      </c>
      <c r="E10" s="76" t="str">
        <f aca="false">LOWER(TRIM(B10))</f>
        <v>irene maddox</v>
      </c>
      <c r="F10" s="76" t="str">
        <f aca="false">TRIM(B10)</f>
        <v>irene maddox</v>
      </c>
      <c r="G10" s="86" t="n">
        <f aca="false">LEN(B10)</f>
        <v>13</v>
      </c>
      <c r="H10" s="86" t="n">
        <f aca="false">LEN(TRIM(B10))</f>
        <v>12</v>
      </c>
      <c r="I10" s="76" t="str">
        <f aca="false">LEFT(TRIM(B10),5)</f>
        <v>irene</v>
      </c>
      <c r="J10" s="76" t="str">
        <f aca="false">RIGHT(TRIM(B10),4)</f>
        <v>ddox</v>
      </c>
      <c r="K10" s="76" t="str">
        <f aca="false">MID(TRIM(B10),4,3)</f>
        <v>ne </v>
      </c>
    </row>
    <row r="11" customFormat="false" ht="23.25" hidden="false" customHeight="true" outlineLevel="0" collapsed="false">
      <c r="A11" s="69" t="s">
        <v>179</v>
      </c>
      <c r="B11" s="68" t="s">
        <v>296</v>
      </c>
      <c r="C11" s="71" t="str">
        <f aca="false">UPPER(B11)</f>
        <v>  HAROLD  PAWLAN  </v>
      </c>
      <c r="D11" s="71" t="str">
        <f aca="false">PROPER(TRIM(B11))</f>
        <v>Harold Pawlan</v>
      </c>
      <c r="E11" s="71" t="str">
        <f aca="false">LOWER(TRIM(B11))</f>
        <v>harold pawlan</v>
      </c>
      <c r="F11" s="71" t="str">
        <f aca="false">TRIM(B11)</f>
        <v>harold pawlan</v>
      </c>
      <c r="G11" s="85" t="n">
        <f aca="false">LEN(B11)</f>
        <v>18</v>
      </c>
      <c r="H11" s="85" t="n">
        <f aca="false">LEN(TRIM(B11))</f>
        <v>13</v>
      </c>
      <c r="I11" s="71" t="str">
        <f aca="false">LEFT(TRIM(B11),5)</f>
        <v>harol</v>
      </c>
      <c r="J11" s="71" t="str">
        <f aca="false">RIGHT(TRIM(B11),4)</f>
        <v>wlan</v>
      </c>
      <c r="K11" s="71" t="str">
        <f aca="false">MID(TRIM(B11),4,3)</f>
        <v>old</v>
      </c>
    </row>
    <row r="12" customFormat="false" ht="15" hidden="false" customHeight="true" outlineLevel="0" collapsed="false">
      <c r="A12" s="74" t="s">
        <v>180</v>
      </c>
      <c r="B12" s="73" t="s">
        <v>297</v>
      </c>
      <c r="C12" s="76" t="str">
        <f aca="false">UPPER(B12)</f>
        <v>PETE   KRIZ</v>
      </c>
      <c r="D12" s="76" t="str">
        <f aca="false">PROPER(TRIM(B12))</f>
        <v>Pete Kriz</v>
      </c>
      <c r="E12" s="76" t="str">
        <f aca="false">LOWER(TRIM(B12))</f>
        <v>pete kriz</v>
      </c>
      <c r="F12" s="76" t="str">
        <f aca="false">TRIM(B12)</f>
        <v>PETE KRIZ</v>
      </c>
      <c r="G12" s="86" t="n">
        <f aca="false">LEN(B12)</f>
        <v>11</v>
      </c>
      <c r="H12" s="86" t="n">
        <f aca="false">LEN(TRIM(B12))</f>
        <v>9</v>
      </c>
      <c r="I12" s="76" t="str">
        <f aca="false">LEFT(TRIM(B12),5)</f>
        <v>PETE </v>
      </c>
      <c r="J12" s="76" t="str">
        <f aca="false">RIGHT(TRIM(B12),4)</f>
        <v>KRIZ</v>
      </c>
      <c r="K12" s="76" t="str">
        <f aca="false">MID(TRIM(B12),4,3)</f>
        <v>E K</v>
      </c>
    </row>
    <row r="13" customFormat="false" ht="23.25" hidden="false" customHeight="true" outlineLevel="0" collapsed="false">
      <c r="A13" s="69" t="s">
        <v>181</v>
      </c>
      <c r="B13" s="68" t="s">
        <v>298</v>
      </c>
      <c r="C13" s="71" t="str">
        <f aca="false">UPPER(B13)</f>
        <v>ALEJANDRO   GROVE</v>
      </c>
      <c r="D13" s="71" t="str">
        <f aca="false">PROPER(TRIM(B13))</f>
        <v>Alejandro Grove</v>
      </c>
      <c r="E13" s="71" t="str">
        <f aca="false">LOWER(TRIM(B13))</f>
        <v>alejandro grove</v>
      </c>
      <c r="F13" s="71" t="str">
        <f aca="false">TRIM(B13)</f>
        <v>alejandro grove</v>
      </c>
      <c r="G13" s="85" t="n">
        <f aca="false">LEN(B13)</f>
        <v>17</v>
      </c>
      <c r="H13" s="85" t="n">
        <f aca="false">LEN(TRIM(B13))</f>
        <v>15</v>
      </c>
      <c r="I13" s="71" t="str">
        <f aca="false">LEFT(TRIM(B13),5)</f>
        <v>aleja</v>
      </c>
      <c r="J13" s="71" t="str">
        <f aca="false">RIGHT(TRIM(B13),4)</f>
        <v>rove</v>
      </c>
      <c r="K13" s="71" t="str">
        <f aca="false">MID(TRIM(B13),4,3)</f>
        <v>jan</v>
      </c>
    </row>
    <row r="14" customFormat="false" ht="23.25" hidden="false" customHeight="true" outlineLevel="0" collapsed="false">
      <c r="A14" s="74" t="s">
        <v>183</v>
      </c>
      <c r="B14" s="73" t="s">
        <v>299</v>
      </c>
      <c r="C14" s="76" t="str">
        <f aca="false">UPPER(B14)</f>
        <v>  ZUSCHUSS  DONATELLI  </v>
      </c>
      <c r="D14" s="76" t="str">
        <f aca="false">PROPER(TRIM(B14))</f>
        <v>Zuschuss Donatelli</v>
      </c>
      <c r="E14" s="76" t="str">
        <f aca="false">LOWER(TRIM(B14))</f>
        <v>zuschuss donatelli</v>
      </c>
      <c r="F14" s="76" t="str">
        <f aca="false">TRIM(B14)</f>
        <v>zuschuss donatelli</v>
      </c>
      <c r="G14" s="86" t="n">
        <f aca="false">LEN(B14)</f>
        <v>23</v>
      </c>
      <c r="H14" s="86" t="n">
        <f aca="false">LEN(TRIM(B14))</f>
        <v>18</v>
      </c>
      <c r="I14" s="76" t="str">
        <f aca="false">LEFT(TRIM(B14),5)</f>
        <v>zusch</v>
      </c>
      <c r="J14" s="76" t="str">
        <f aca="false">RIGHT(TRIM(B14),4)</f>
        <v>elli</v>
      </c>
      <c r="K14" s="76" t="str">
        <f aca="false">MID(TRIM(B14),4,3)</f>
        <v>chu</v>
      </c>
    </row>
    <row r="15" customFormat="false" ht="15" hidden="false" customHeight="true" outlineLevel="0" collapsed="false">
      <c r="A15" s="69" t="s">
        <v>184</v>
      </c>
      <c r="B15" s="68" t="s">
        <v>300</v>
      </c>
      <c r="C15" s="71" t="str">
        <f aca="false">UPPER(B15)</f>
        <v>KEN   BLACK</v>
      </c>
      <c r="D15" s="71" t="str">
        <f aca="false">PROPER(TRIM(B15))</f>
        <v>Ken Black</v>
      </c>
      <c r="E15" s="71" t="str">
        <f aca="false">LOWER(TRIM(B15))</f>
        <v>ken black</v>
      </c>
      <c r="F15" s="71" t="str">
        <f aca="false">TRIM(B15)</f>
        <v>KEN BLACK</v>
      </c>
      <c r="G15" s="85" t="n">
        <f aca="false">LEN(B15)</f>
        <v>11</v>
      </c>
      <c r="H15" s="85" t="n">
        <f aca="false">LEN(TRIM(B15))</f>
        <v>9</v>
      </c>
      <c r="I15" s="71" t="str">
        <f aca="false">LEFT(TRIM(B15),5)</f>
        <v>KEN B</v>
      </c>
      <c r="J15" s="71" t="str">
        <f aca="false">RIGHT(TRIM(B15),4)</f>
        <v>LACK</v>
      </c>
      <c r="K15" s="71" t="str">
        <f aca="false">MID(TRIM(B15),4,3)</f>
        <v> BL</v>
      </c>
    </row>
    <row r="16" customFormat="false" ht="15" hidden="false" customHeight="true" outlineLevel="0" collapsed="false">
      <c r="A16" s="74" t="s">
        <v>185</v>
      </c>
      <c r="B16" s="73" t="s">
        <v>301</v>
      </c>
      <c r="C16" s="76" t="str">
        <f aca="false">UPPER(B16)</f>
        <v>  SANJIT  ENGLE  </v>
      </c>
      <c r="D16" s="76" t="str">
        <f aca="false">PROPER(TRIM(B16))</f>
        <v>Sanjit Engle</v>
      </c>
      <c r="E16" s="76" t="str">
        <f aca="false">LOWER(TRIM(B16))</f>
        <v>sanjit engle</v>
      </c>
      <c r="F16" s="76" t="str">
        <f aca="false">TRIM(B16)</f>
        <v>sanjit engle</v>
      </c>
      <c r="G16" s="86" t="n">
        <f aca="false">LEN(B16)</f>
        <v>17</v>
      </c>
      <c r="H16" s="86" t="n">
        <f aca="false">LEN(TRIM(B16))</f>
        <v>12</v>
      </c>
      <c r="I16" s="76" t="str">
        <f aca="false">LEFT(TRIM(B16),5)</f>
        <v>sanji</v>
      </c>
      <c r="J16" s="76" t="str">
        <f aca="false">RIGHT(TRIM(B16),4)</f>
        <v>ngle</v>
      </c>
      <c r="K16" s="76" t="str">
        <f aca="false">MID(TRIM(B16),4,3)</f>
        <v>jit</v>
      </c>
    </row>
    <row r="18" customFormat="false" ht="21.75" hidden="false" customHeight="true" outlineLevel="0" collapsed="false">
      <c r="A18" s="87" t="s">
        <v>302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</row>
    <row r="19" customFormat="false" ht="30" hidden="false" customHeight="true" outlineLevel="0" collapsed="false">
      <c r="A19" s="88" t="s">
        <v>303</v>
      </c>
      <c r="B19" s="88" t="s">
        <v>304</v>
      </c>
      <c r="C19" s="88" t="s">
        <v>305</v>
      </c>
      <c r="D19" s="88" t="s">
        <v>306</v>
      </c>
      <c r="E19" s="88" t="s">
        <v>307</v>
      </c>
      <c r="F19" s="88" t="s">
        <v>308</v>
      </c>
      <c r="G19" s="88" t="s">
        <v>309</v>
      </c>
      <c r="H19" s="88"/>
      <c r="I19" s="88"/>
      <c r="J19" s="88"/>
      <c r="K19" s="88"/>
    </row>
    <row r="20" customFormat="false" ht="23.25" hidden="false" customHeight="true" outlineLevel="0" collapsed="false">
      <c r="A20" s="73" t="s">
        <v>310</v>
      </c>
      <c r="B20" s="74" t="s">
        <v>311</v>
      </c>
      <c r="C20" s="86" t="n">
        <f aca="false">IFERROR(SEARCH(B20,A20),"Not found")</f>
        <v>12</v>
      </c>
      <c r="D20" s="86" t="str">
        <f aca="false">IFERROR(FIND(B20,A20),"Not found")</f>
        <v>Not found</v>
      </c>
      <c r="E20" s="76" t="str">
        <f aca="false">IF(ISNUMBER(FIND(B20,A20)),"Exact","Mismatch")</f>
        <v>Mismatch</v>
      </c>
      <c r="F20" s="76" t="str">
        <f aca="false">IFERROR(MID(A20,SEARCH(B20,A20),LEN(B20)),"N/A")</f>
        <v>Sales</v>
      </c>
      <c r="G20" s="89" t="s">
        <v>312</v>
      </c>
      <c r="H20" s="73"/>
      <c r="I20" s="73"/>
      <c r="J20" s="73"/>
      <c r="K20" s="73"/>
    </row>
    <row r="21" customFormat="false" ht="23.25" hidden="false" customHeight="true" outlineLevel="0" collapsed="false">
      <c r="A21" s="68" t="s">
        <v>313</v>
      </c>
      <c r="B21" s="69" t="s">
        <v>314</v>
      </c>
      <c r="C21" s="85" t="n">
        <f aca="false">IFERROR(SEARCH(B21,A21),"Not found")</f>
        <v>12</v>
      </c>
      <c r="D21" s="85" t="str">
        <f aca="false">IFERROR(FIND(B21,A21),"Not found")</f>
        <v>Not found</v>
      </c>
      <c r="E21" s="71" t="str">
        <f aca="false">IF(ISNUMBER(FIND(B21,A21)),"Exact","Mismatch")</f>
        <v>Mismatch</v>
      </c>
      <c r="F21" s="71" t="str">
        <f aca="false">IFERROR(MID(A21,SEARCH(B21,A21),LEN(B21)),"N/A")</f>
        <v>CLASS</v>
      </c>
      <c r="G21" s="90" t="s">
        <v>312</v>
      </c>
      <c r="H21" s="68"/>
      <c r="I21" s="68"/>
      <c r="J21" s="68"/>
      <c r="K21" s="68"/>
    </row>
    <row r="22" customFormat="false" ht="23.25" hidden="false" customHeight="true" outlineLevel="0" collapsed="false">
      <c r="A22" s="73" t="s">
        <v>315</v>
      </c>
      <c r="B22" s="74" t="s">
        <v>316</v>
      </c>
      <c r="C22" s="86" t="n">
        <f aca="false">IFERROR(SEARCH(B22,A22),"Not found")</f>
        <v>1</v>
      </c>
      <c r="D22" s="86" t="n">
        <f aca="false">IFERROR(FIND(B22,A22),"Not found")</f>
        <v>1</v>
      </c>
      <c r="E22" s="76" t="str">
        <f aca="false">IF(ISNUMBER(FIND(B22,A22)),"Exact","Mismatch")</f>
        <v>Exact</v>
      </c>
      <c r="F22" s="76" t="str">
        <f aca="false">IFERROR(MID(A22,SEARCH(B22,A22),LEN(B22)),"N/A")</f>
        <v>HP</v>
      </c>
      <c r="G22" s="89" t="s">
        <v>312</v>
      </c>
      <c r="H22" s="73"/>
      <c r="I22" s="73"/>
      <c r="J22" s="73"/>
      <c r="K22" s="73"/>
    </row>
    <row r="23" customFormat="false" ht="23.25" hidden="false" customHeight="true" outlineLevel="0" collapsed="false">
      <c r="A23" s="68" t="s">
        <v>317</v>
      </c>
      <c r="B23" s="69" t="s">
        <v>318</v>
      </c>
      <c r="C23" s="85" t="n">
        <f aca="false">IFERROR(SEARCH(B23,A23),"Not found")</f>
        <v>2</v>
      </c>
      <c r="D23" s="85" t="str">
        <f aca="false">IFERROR(FIND(B23,A23),"Not found")</f>
        <v>Not found</v>
      </c>
      <c r="E23" s="71" t="str">
        <f aca="false">IF(ISNUMBER(FIND(B23,A23)),"Exact","Mismatch")</f>
        <v>Mismatch</v>
      </c>
      <c r="F23" s="71" t="str">
        <f aca="false">IFERROR(MID(A23,SEARCH(B23,A23),LEN(B23)),"N/A")</f>
        <v>LOOKUP</v>
      </c>
      <c r="G23" s="90" t="s">
        <v>312</v>
      </c>
      <c r="H23" s="68"/>
      <c r="I23" s="68"/>
      <c r="J23" s="68"/>
      <c r="K23" s="68"/>
    </row>
    <row r="24" customFormat="false" ht="23.25" hidden="false" customHeight="true" outlineLevel="0" collapsed="false">
      <c r="A24" s="73" t="s">
        <v>319</v>
      </c>
      <c r="B24" s="74" t="s">
        <v>320</v>
      </c>
      <c r="C24" s="86" t="n">
        <f aca="false">IFERROR(SEARCH(B24,A24),"Not found")</f>
        <v>7</v>
      </c>
      <c r="D24" s="86" t="str">
        <f aca="false">IFERROR(FIND(B24,A24),"Not found")</f>
        <v>Not found</v>
      </c>
      <c r="E24" s="76" t="str">
        <f aca="false">IF(ISNUMBER(FIND(B24,A24)),"Exact","Mismatch")</f>
        <v>Mismatch</v>
      </c>
      <c r="F24" s="76" t="str">
        <f aca="false">IFERROR(MID(A24,SEARCH(B24,A24),LEN(B24)),"N/A")</f>
        <v>Table</v>
      </c>
      <c r="G24" s="89" t="s">
        <v>312</v>
      </c>
      <c r="H24" s="73"/>
      <c r="I24" s="73"/>
      <c r="J24" s="73"/>
      <c r="K24" s="73"/>
    </row>
    <row r="26" customFormat="false" ht="21.75" hidden="false" customHeight="true" outlineLevel="0" collapsed="false">
      <c r="A26" s="78" t="s">
        <v>321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</row>
    <row r="27" customFormat="false" ht="36" hidden="false" customHeight="true" outlineLevel="0" collapsed="false">
      <c r="A27" s="79" t="s">
        <v>322</v>
      </c>
      <c r="B27" s="79" t="s">
        <v>323</v>
      </c>
      <c r="C27" s="79" t="s">
        <v>324</v>
      </c>
      <c r="D27" s="79" t="s">
        <v>325</v>
      </c>
      <c r="E27" s="79" t="s">
        <v>326</v>
      </c>
      <c r="F27" s="79" t="s">
        <v>327</v>
      </c>
      <c r="G27" s="79" t="s">
        <v>328</v>
      </c>
      <c r="H27" s="79"/>
      <c r="I27" s="79"/>
      <c r="J27" s="79"/>
      <c r="K27" s="79"/>
    </row>
    <row r="28" customFormat="false" ht="15" hidden="false" customHeight="true" outlineLevel="0" collapsed="false">
      <c r="A28" s="73" t="s">
        <v>329</v>
      </c>
      <c r="B28" s="73" t="s">
        <v>330</v>
      </c>
      <c r="C28" s="76" t="str">
        <f aca="false">CONCATENATE(A28," ",B28)</f>
        <v>Claire Gute</v>
      </c>
      <c r="D28" s="76" t="str">
        <f aca="false">A28&amp;" "&amp;B28</f>
        <v>Claire Gute</v>
      </c>
      <c r="E28" s="76" t="str">
        <f aca="false">B28&amp;", "&amp;A28</f>
        <v>Gute, Claire</v>
      </c>
      <c r="F28" s="76" t="str">
        <f aca="false">"Rep: "&amp;A28&amp;" "&amp;B28</f>
        <v>Rep: Claire Gute</v>
      </c>
      <c r="G28" s="91" t="n">
        <f aca="false">VALUE("12500")</f>
        <v>12500</v>
      </c>
      <c r="H28" s="73"/>
      <c r="I28" s="73"/>
      <c r="J28" s="73"/>
      <c r="K28" s="73"/>
    </row>
    <row r="29" customFormat="false" ht="15" hidden="false" customHeight="true" outlineLevel="0" collapsed="false">
      <c r="A29" s="68" t="s">
        <v>331</v>
      </c>
      <c r="B29" s="68" t="s">
        <v>332</v>
      </c>
      <c r="C29" s="71" t="str">
        <f aca="false">CONCATENATE(A29," ",B29)</f>
        <v>Darrin Van Huff</v>
      </c>
      <c r="D29" s="71" t="str">
        <f aca="false">A29&amp;" "&amp;B29</f>
        <v>Darrin Van Huff</v>
      </c>
      <c r="E29" s="71" t="str">
        <f aca="false">B29&amp;", "&amp;A29</f>
        <v>Van Huff, Darrin</v>
      </c>
      <c r="F29" s="71" t="str">
        <f aca="false">"Rep: "&amp;A29&amp;" "&amp;B29</f>
        <v>Rep: Darrin Van Huff</v>
      </c>
      <c r="G29" s="92" t="n">
        <f aca="false">VALUE("12500")</f>
        <v>12500</v>
      </c>
      <c r="H29" s="68"/>
      <c r="I29" s="68"/>
      <c r="J29" s="68"/>
      <c r="K29" s="68"/>
    </row>
    <row r="30" customFormat="false" ht="15" hidden="false" customHeight="true" outlineLevel="0" collapsed="false">
      <c r="A30" s="73" t="s">
        <v>333</v>
      </c>
      <c r="B30" s="73" t="s">
        <v>334</v>
      </c>
      <c r="C30" s="76" t="str">
        <f aca="false">CONCATENATE(A30," ",B30)</f>
        <v>Sean O'Donnell</v>
      </c>
      <c r="D30" s="76" t="str">
        <f aca="false">A30&amp;" "&amp;B30</f>
        <v>Sean O'Donnell</v>
      </c>
      <c r="E30" s="76" t="str">
        <f aca="false">B30&amp;", "&amp;A30</f>
        <v>O'Donnell, Sean</v>
      </c>
      <c r="F30" s="76" t="str">
        <f aca="false">"Rep: "&amp;A30&amp;" "&amp;B30</f>
        <v>Rep: Sean O'Donnell</v>
      </c>
      <c r="G30" s="91" t="n">
        <f aca="false">VALUE("12500")</f>
        <v>12500</v>
      </c>
      <c r="H30" s="73"/>
      <c r="I30" s="73"/>
      <c r="J30" s="73"/>
      <c r="K30" s="73"/>
    </row>
    <row r="31" customFormat="false" ht="23.25" hidden="false" customHeight="true" outlineLevel="0" collapsed="false">
      <c r="A31" s="68" t="s">
        <v>335</v>
      </c>
      <c r="B31" s="68" t="s">
        <v>336</v>
      </c>
      <c r="C31" s="71" t="str">
        <f aca="false">CONCATENATE(A31," ",B31)</f>
        <v>Brosina Hoffman</v>
      </c>
      <c r="D31" s="71" t="str">
        <f aca="false">A31&amp;" "&amp;B31</f>
        <v>Brosina Hoffman</v>
      </c>
      <c r="E31" s="71" t="str">
        <f aca="false">B31&amp;", "&amp;A31</f>
        <v>Hoffman, Brosina</v>
      </c>
      <c r="F31" s="71" t="str">
        <f aca="false">"Rep: "&amp;A31&amp;" "&amp;B31</f>
        <v>Rep: Brosina Hoffman</v>
      </c>
      <c r="G31" s="92" t="n">
        <f aca="false">VALUE("12500")</f>
        <v>12500</v>
      </c>
      <c r="H31" s="68"/>
      <c r="I31" s="68"/>
      <c r="J31" s="68"/>
      <c r="K31" s="68"/>
    </row>
    <row r="32" customFormat="false" ht="15" hidden="false" customHeight="true" outlineLevel="0" collapsed="false">
      <c r="A32" s="73" t="s">
        <v>337</v>
      </c>
      <c r="B32" s="73" t="s">
        <v>338</v>
      </c>
      <c r="C32" s="76" t="str">
        <f aca="false">CONCATENATE(A32," ",B32)</f>
        <v>Andrew Allen</v>
      </c>
      <c r="D32" s="76" t="str">
        <f aca="false">A32&amp;" "&amp;B32</f>
        <v>Andrew Allen</v>
      </c>
      <c r="E32" s="76" t="str">
        <f aca="false">B32&amp;", "&amp;A32</f>
        <v>Allen, Andrew</v>
      </c>
      <c r="F32" s="76" t="str">
        <f aca="false">"Rep: "&amp;A32&amp;" "&amp;B32</f>
        <v>Rep: Andrew Allen</v>
      </c>
      <c r="G32" s="91" t="n">
        <f aca="false">VALUE("12500")</f>
        <v>12500</v>
      </c>
      <c r="H32" s="73"/>
      <c r="I32" s="73"/>
      <c r="J32" s="73"/>
      <c r="K32" s="73"/>
    </row>
    <row r="34" customFormat="false" ht="21.75" hidden="false" customHeight="true" outlineLevel="0" collapsed="false">
      <c r="A34" s="93" t="s">
        <v>339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</row>
    <row r="35" customFormat="false" ht="15" hidden="false" customHeight="true" outlineLevel="0" collapsed="false">
      <c r="A35" s="94" t="s">
        <v>340</v>
      </c>
      <c r="B35" s="94" t="s">
        <v>341</v>
      </c>
      <c r="C35" s="94" t="s">
        <v>342</v>
      </c>
      <c r="D35" s="94"/>
      <c r="E35" s="94"/>
      <c r="F35" s="94"/>
      <c r="G35" s="94"/>
      <c r="H35" s="94"/>
      <c r="I35" s="94"/>
      <c r="J35" s="94"/>
      <c r="K35" s="94"/>
    </row>
    <row r="36" customFormat="false" ht="15" hidden="false" customHeight="true" outlineLevel="0" collapsed="false">
      <c r="A36" s="95" t="s">
        <v>343</v>
      </c>
      <c r="B36" s="73" t="s">
        <v>344</v>
      </c>
      <c r="C36" s="73" t="s">
        <v>345</v>
      </c>
      <c r="D36" s="73"/>
      <c r="E36" s="73"/>
      <c r="F36" s="73"/>
      <c r="G36" s="73"/>
      <c r="H36" s="73"/>
      <c r="I36" s="73"/>
      <c r="J36" s="73"/>
      <c r="K36" s="73"/>
    </row>
    <row r="37" customFormat="false" ht="15" hidden="false" customHeight="true" outlineLevel="0" collapsed="false">
      <c r="A37" s="96" t="s">
        <v>343</v>
      </c>
      <c r="B37" s="68" t="s">
        <v>346</v>
      </c>
      <c r="C37" s="68" t="s">
        <v>347</v>
      </c>
      <c r="D37" s="68"/>
      <c r="E37" s="68"/>
      <c r="F37" s="68"/>
      <c r="G37" s="68"/>
      <c r="H37" s="68"/>
      <c r="I37" s="68"/>
      <c r="J37" s="68"/>
      <c r="K37" s="68"/>
    </row>
    <row r="38" customFormat="false" ht="15" hidden="false" customHeight="true" outlineLevel="0" collapsed="false">
      <c r="A38" s="95" t="s">
        <v>343</v>
      </c>
      <c r="B38" s="73" t="s">
        <v>348</v>
      </c>
      <c r="C38" s="73" t="s">
        <v>349</v>
      </c>
      <c r="D38" s="73"/>
      <c r="E38" s="73"/>
      <c r="F38" s="73"/>
      <c r="G38" s="73"/>
      <c r="H38" s="73"/>
      <c r="I38" s="73"/>
      <c r="J38" s="73"/>
      <c r="K38" s="73"/>
    </row>
    <row r="39" customFormat="false" ht="15" hidden="false" customHeight="true" outlineLevel="0" collapsed="false">
      <c r="A39" s="96" t="s">
        <v>350</v>
      </c>
      <c r="B39" s="68" t="s">
        <v>351</v>
      </c>
      <c r="C39" s="68" t="s">
        <v>352</v>
      </c>
      <c r="D39" s="68"/>
      <c r="E39" s="68"/>
      <c r="F39" s="68"/>
      <c r="G39" s="68"/>
      <c r="H39" s="68"/>
      <c r="I39" s="68"/>
      <c r="J39" s="68"/>
      <c r="K39" s="68"/>
    </row>
    <row r="40" customFormat="false" ht="15" hidden="false" customHeight="true" outlineLevel="0" collapsed="false">
      <c r="A40" s="95" t="s">
        <v>350</v>
      </c>
      <c r="B40" s="73" t="s">
        <v>353</v>
      </c>
      <c r="C40" s="73" t="s">
        <v>354</v>
      </c>
      <c r="D40" s="73"/>
      <c r="E40" s="73"/>
      <c r="F40" s="73"/>
      <c r="G40" s="73"/>
      <c r="H40" s="73"/>
      <c r="I40" s="73"/>
      <c r="J40" s="73"/>
      <c r="K40" s="73"/>
    </row>
  </sheetData>
  <mergeCells count="11">
    <mergeCell ref="A1:K1"/>
    <mergeCell ref="A3:K3"/>
    <mergeCell ref="A18:K18"/>
    <mergeCell ref="A26:K26"/>
    <mergeCell ref="A34:K34"/>
    <mergeCell ref="C35:K35"/>
    <mergeCell ref="C36:K36"/>
    <mergeCell ref="C37:K37"/>
    <mergeCell ref="C38:K38"/>
    <mergeCell ref="C39:K39"/>
    <mergeCell ref="C40:K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22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34"/>
    <col collapsed="false" customWidth="true" hidden="false" outlineLevel="0" max="10" min="10" style="1" width="12"/>
    <col collapsed="false" customWidth="true" hidden="false" outlineLevel="0" max="12" min="11" style="1" width="10"/>
    <col collapsed="false" customWidth="true" hidden="false" outlineLevel="0" max="13" min="13" style="1" width="12"/>
  </cols>
  <sheetData>
    <row r="1" customFormat="false" ht="30" hidden="false" customHeight="true" outlineLevel="0" collapsed="false">
      <c r="A1" s="65" t="s">
        <v>355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3" customFormat="false" ht="21.75" hidden="false" customHeight="true" outlineLevel="0" collapsed="false">
      <c r="A3" s="66" t="s">
        <v>356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customFormat="false" ht="27.75" hidden="false" customHeight="true" outlineLevel="0" collapsed="false">
      <c r="A4" s="67" t="s">
        <v>163</v>
      </c>
      <c r="B4" s="67" t="s">
        <v>125</v>
      </c>
      <c r="C4" s="67" t="s">
        <v>164</v>
      </c>
      <c r="D4" s="67" t="s">
        <v>357</v>
      </c>
      <c r="E4" s="67" t="s">
        <v>358</v>
      </c>
      <c r="F4" s="67" t="s">
        <v>57</v>
      </c>
      <c r="G4" s="67" t="s">
        <v>29</v>
      </c>
      <c r="H4" s="67" t="s">
        <v>126</v>
      </c>
      <c r="I4" s="67" t="s">
        <v>28</v>
      </c>
      <c r="J4" s="67" t="s">
        <v>3</v>
      </c>
      <c r="K4" s="67" t="s">
        <v>359</v>
      </c>
      <c r="L4" s="67" t="s">
        <v>60</v>
      </c>
      <c r="M4" s="67" t="s">
        <v>58</v>
      </c>
    </row>
    <row r="5" customFormat="false" ht="15" hidden="false" customHeight="true" outlineLevel="0" collapsed="false">
      <c r="A5" s="97" t="s">
        <v>171</v>
      </c>
      <c r="B5" s="98" t="n">
        <v>42682</v>
      </c>
      <c r="C5" s="98" t="n">
        <v>42685</v>
      </c>
      <c r="D5" s="97" t="s">
        <v>236</v>
      </c>
      <c r="E5" s="97" t="s">
        <v>360</v>
      </c>
      <c r="F5" s="97" t="s">
        <v>64</v>
      </c>
      <c r="G5" s="97" t="s">
        <v>237</v>
      </c>
      <c r="H5" s="97" t="s">
        <v>361</v>
      </c>
      <c r="I5" s="97" t="s">
        <v>113</v>
      </c>
      <c r="J5" s="99" t="n">
        <v>261.96</v>
      </c>
      <c r="K5" s="100" t="n">
        <v>2</v>
      </c>
      <c r="L5" s="101" t="n">
        <v>0</v>
      </c>
      <c r="M5" s="99" t="n">
        <v>41.91</v>
      </c>
    </row>
    <row r="6" customFormat="false" ht="15" hidden="false" customHeight="true" outlineLevel="0" collapsed="false">
      <c r="A6" s="102" t="s">
        <v>171</v>
      </c>
      <c r="B6" s="103" t="n">
        <v>42682</v>
      </c>
      <c r="C6" s="103" t="n">
        <v>42685</v>
      </c>
      <c r="D6" s="102" t="s">
        <v>236</v>
      </c>
      <c r="E6" s="102" t="s">
        <v>360</v>
      </c>
      <c r="F6" s="102" t="s">
        <v>64</v>
      </c>
      <c r="G6" s="102" t="s">
        <v>237</v>
      </c>
      <c r="H6" s="102" t="s">
        <v>362</v>
      </c>
      <c r="I6" s="102" t="s">
        <v>363</v>
      </c>
      <c r="J6" s="104" t="n">
        <v>731.94</v>
      </c>
      <c r="K6" s="105" t="n">
        <v>3</v>
      </c>
      <c r="L6" s="106" t="n">
        <v>0</v>
      </c>
      <c r="M6" s="104" t="n">
        <v>219.58</v>
      </c>
    </row>
    <row r="7" customFormat="false" ht="15" hidden="false" customHeight="true" outlineLevel="0" collapsed="false">
      <c r="A7" s="97" t="s">
        <v>173</v>
      </c>
      <c r="B7" s="98" t="n">
        <v>42533</v>
      </c>
      <c r="C7" s="98" t="n">
        <v>42537</v>
      </c>
      <c r="D7" s="97" t="s">
        <v>238</v>
      </c>
      <c r="E7" s="97" t="s">
        <v>364</v>
      </c>
      <c r="F7" s="97" t="s">
        <v>68</v>
      </c>
      <c r="G7" s="97" t="s">
        <v>32</v>
      </c>
      <c r="H7" s="97" t="s">
        <v>365</v>
      </c>
      <c r="I7" s="97" t="s">
        <v>119</v>
      </c>
      <c r="J7" s="99" t="n">
        <v>14.62</v>
      </c>
      <c r="K7" s="100" t="n">
        <v>2</v>
      </c>
      <c r="L7" s="101" t="n">
        <v>0</v>
      </c>
      <c r="M7" s="99" t="n">
        <v>6.87</v>
      </c>
    </row>
    <row r="8" customFormat="false" ht="15" hidden="false" customHeight="true" outlineLevel="0" collapsed="false">
      <c r="A8" s="102" t="s">
        <v>174</v>
      </c>
      <c r="B8" s="103" t="n">
        <v>42288</v>
      </c>
      <c r="C8" s="103" t="n">
        <v>42295</v>
      </c>
      <c r="D8" s="102" t="s">
        <v>239</v>
      </c>
      <c r="E8" s="102" t="s">
        <v>360</v>
      </c>
      <c r="F8" s="102" t="s">
        <v>64</v>
      </c>
      <c r="G8" s="102" t="s">
        <v>237</v>
      </c>
      <c r="H8" s="102" t="s">
        <v>366</v>
      </c>
      <c r="I8" s="102" t="s">
        <v>367</v>
      </c>
      <c r="J8" s="104" t="n">
        <v>957.58</v>
      </c>
      <c r="K8" s="105" t="n">
        <v>5</v>
      </c>
      <c r="L8" s="106" t="n">
        <v>0.45</v>
      </c>
      <c r="M8" s="104" t="n">
        <v>-383.03</v>
      </c>
    </row>
    <row r="9" customFormat="false" ht="15" hidden="false" customHeight="true" outlineLevel="0" collapsed="false">
      <c r="A9" s="97" t="s">
        <v>174</v>
      </c>
      <c r="B9" s="98" t="n">
        <v>42288</v>
      </c>
      <c r="C9" s="98" t="n">
        <v>42295</v>
      </c>
      <c r="D9" s="97" t="s">
        <v>239</v>
      </c>
      <c r="E9" s="97" t="s">
        <v>360</v>
      </c>
      <c r="F9" s="97" t="s">
        <v>64</v>
      </c>
      <c r="G9" s="97" t="s">
        <v>32</v>
      </c>
      <c r="H9" s="97" t="s">
        <v>368</v>
      </c>
      <c r="I9" s="97" t="s">
        <v>369</v>
      </c>
      <c r="J9" s="99" t="n">
        <v>22.37</v>
      </c>
      <c r="K9" s="100" t="n">
        <v>2</v>
      </c>
      <c r="L9" s="101" t="n">
        <v>0.2</v>
      </c>
      <c r="M9" s="99" t="n">
        <v>2.52</v>
      </c>
    </row>
    <row r="10" customFormat="false" ht="15" hidden="false" customHeight="true" outlineLevel="0" collapsed="false">
      <c r="A10" s="102" t="s">
        <v>176</v>
      </c>
      <c r="B10" s="103" t="n">
        <v>41799</v>
      </c>
      <c r="C10" s="103" t="n">
        <v>41804</v>
      </c>
      <c r="D10" s="102" t="s">
        <v>240</v>
      </c>
      <c r="E10" s="102" t="s">
        <v>360</v>
      </c>
      <c r="F10" s="102" t="s">
        <v>68</v>
      </c>
      <c r="G10" s="102" t="s">
        <v>237</v>
      </c>
      <c r="H10" s="102" t="s">
        <v>370</v>
      </c>
      <c r="I10" s="102" t="s">
        <v>371</v>
      </c>
      <c r="J10" s="104" t="n">
        <v>48.86</v>
      </c>
      <c r="K10" s="105" t="n">
        <v>7</v>
      </c>
      <c r="L10" s="106" t="n">
        <v>0</v>
      </c>
      <c r="M10" s="104" t="n">
        <v>14.17</v>
      </c>
    </row>
    <row r="11" customFormat="false" ht="15" hidden="false" customHeight="true" outlineLevel="0" collapsed="false">
      <c r="A11" s="97" t="s">
        <v>176</v>
      </c>
      <c r="B11" s="98" t="n">
        <v>41799</v>
      </c>
      <c r="C11" s="98" t="n">
        <v>41804</v>
      </c>
      <c r="D11" s="97" t="s">
        <v>240</v>
      </c>
      <c r="E11" s="97" t="s">
        <v>360</v>
      </c>
      <c r="F11" s="97" t="s">
        <v>68</v>
      </c>
      <c r="G11" s="97" t="s">
        <v>32</v>
      </c>
      <c r="H11" s="97" t="s">
        <v>372</v>
      </c>
      <c r="I11" s="97" t="s">
        <v>373</v>
      </c>
      <c r="J11" s="99" t="n">
        <v>7.28</v>
      </c>
      <c r="K11" s="100" t="n">
        <v>4</v>
      </c>
      <c r="L11" s="101" t="n">
        <v>0</v>
      </c>
      <c r="M11" s="99" t="n">
        <v>1.97</v>
      </c>
    </row>
    <row r="12" customFormat="false" ht="15" hidden="false" customHeight="true" outlineLevel="0" collapsed="false">
      <c r="A12" s="102" t="s">
        <v>176</v>
      </c>
      <c r="B12" s="103" t="n">
        <v>41799</v>
      </c>
      <c r="C12" s="103" t="n">
        <v>41804</v>
      </c>
      <c r="D12" s="102" t="s">
        <v>240</v>
      </c>
      <c r="E12" s="102" t="s">
        <v>360</v>
      </c>
      <c r="F12" s="102" t="s">
        <v>68</v>
      </c>
      <c r="G12" s="102" t="s">
        <v>37</v>
      </c>
      <c r="H12" s="102" t="s">
        <v>374</v>
      </c>
      <c r="I12" s="102" t="s">
        <v>375</v>
      </c>
      <c r="J12" s="104" t="n">
        <v>907.15</v>
      </c>
      <c r="K12" s="105" t="n">
        <v>6</v>
      </c>
      <c r="L12" s="106" t="n">
        <v>0.2</v>
      </c>
      <c r="M12" s="104" t="n">
        <v>90.72</v>
      </c>
    </row>
    <row r="13" customFormat="false" ht="15" hidden="false" customHeight="true" outlineLevel="0" collapsed="false">
      <c r="A13" s="97" t="s">
        <v>176</v>
      </c>
      <c r="B13" s="98" t="n">
        <v>41799</v>
      </c>
      <c r="C13" s="98" t="n">
        <v>41804</v>
      </c>
      <c r="D13" s="97" t="s">
        <v>240</v>
      </c>
      <c r="E13" s="97" t="s">
        <v>360</v>
      </c>
      <c r="F13" s="97" t="s">
        <v>68</v>
      </c>
      <c r="G13" s="97" t="s">
        <v>32</v>
      </c>
      <c r="H13" s="97" t="s">
        <v>134</v>
      </c>
      <c r="I13" s="97" t="s">
        <v>376</v>
      </c>
      <c r="J13" s="99" t="n">
        <v>18.5</v>
      </c>
      <c r="K13" s="100" t="n">
        <v>3</v>
      </c>
      <c r="L13" s="101" t="n">
        <v>0.2</v>
      </c>
      <c r="M13" s="99" t="n">
        <v>5.78</v>
      </c>
    </row>
    <row r="14" customFormat="false" ht="15" hidden="false" customHeight="true" outlineLevel="0" collapsed="false">
      <c r="A14" s="102" t="s">
        <v>176</v>
      </c>
      <c r="B14" s="103" t="n">
        <v>41799</v>
      </c>
      <c r="C14" s="103" t="n">
        <v>41804</v>
      </c>
      <c r="D14" s="102" t="s">
        <v>240</v>
      </c>
      <c r="E14" s="102" t="s">
        <v>360</v>
      </c>
      <c r="F14" s="102" t="s">
        <v>68</v>
      </c>
      <c r="G14" s="102" t="s">
        <v>32</v>
      </c>
      <c r="H14" s="102" t="s">
        <v>159</v>
      </c>
      <c r="I14" s="102" t="s">
        <v>377</v>
      </c>
      <c r="J14" s="104" t="n">
        <v>114.9</v>
      </c>
      <c r="K14" s="105" t="n">
        <v>5</v>
      </c>
      <c r="L14" s="106" t="n">
        <v>0</v>
      </c>
      <c r="M14" s="104" t="n">
        <v>34.47</v>
      </c>
    </row>
    <row r="15" customFormat="false" ht="15" hidden="false" customHeight="true" outlineLevel="0" collapsed="false">
      <c r="A15" s="97" t="s">
        <v>176</v>
      </c>
      <c r="B15" s="98" t="n">
        <v>41799</v>
      </c>
      <c r="C15" s="98" t="n">
        <v>41804</v>
      </c>
      <c r="D15" s="97" t="s">
        <v>240</v>
      </c>
      <c r="E15" s="97" t="s">
        <v>360</v>
      </c>
      <c r="F15" s="97" t="s">
        <v>68</v>
      </c>
      <c r="G15" s="97" t="s">
        <v>237</v>
      </c>
      <c r="H15" s="97" t="s">
        <v>366</v>
      </c>
      <c r="I15" s="97" t="s">
        <v>378</v>
      </c>
      <c r="J15" s="99" t="n">
        <v>1706.18</v>
      </c>
      <c r="K15" s="100" t="n">
        <v>9</v>
      </c>
      <c r="L15" s="101" t="n">
        <v>0.2</v>
      </c>
      <c r="M15" s="99" t="n">
        <v>85.31</v>
      </c>
    </row>
    <row r="16" customFormat="false" ht="15" hidden="false" customHeight="true" outlineLevel="0" collapsed="false">
      <c r="A16" s="102" t="s">
        <v>176</v>
      </c>
      <c r="B16" s="103" t="n">
        <v>41799</v>
      </c>
      <c r="C16" s="103" t="n">
        <v>41804</v>
      </c>
      <c r="D16" s="102" t="s">
        <v>240</v>
      </c>
      <c r="E16" s="102" t="s">
        <v>360</v>
      </c>
      <c r="F16" s="102" t="s">
        <v>68</v>
      </c>
      <c r="G16" s="102" t="s">
        <v>37</v>
      </c>
      <c r="H16" s="102" t="s">
        <v>374</v>
      </c>
      <c r="I16" s="102" t="s">
        <v>379</v>
      </c>
      <c r="J16" s="104" t="n">
        <v>911.42</v>
      </c>
      <c r="K16" s="105" t="n">
        <v>4</v>
      </c>
      <c r="L16" s="106" t="n">
        <v>0.2</v>
      </c>
      <c r="M16" s="104" t="n">
        <v>68.36</v>
      </c>
    </row>
    <row r="17" customFormat="false" ht="15" hidden="false" customHeight="true" outlineLevel="0" collapsed="false">
      <c r="A17" s="97" t="s">
        <v>177</v>
      </c>
      <c r="B17" s="98" t="n">
        <v>42840</v>
      </c>
      <c r="C17" s="98" t="n">
        <v>42845</v>
      </c>
      <c r="D17" s="97" t="s">
        <v>241</v>
      </c>
      <c r="E17" s="97" t="s">
        <v>360</v>
      </c>
      <c r="F17" s="97" t="s">
        <v>64</v>
      </c>
      <c r="G17" s="97" t="s">
        <v>32</v>
      </c>
      <c r="H17" s="97" t="s">
        <v>149</v>
      </c>
      <c r="I17" s="97" t="s">
        <v>380</v>
      </c>
      <c r="J17" s="99" t="n">
        <v>15.55</v>
      </c>
      <c r="K17" s="100" t="n">
        <v>3</v>
      </c>
      <c r="L17" s="101" t="n">
        <v>0.2</v>
      </c>
      <c r="M17" s="99" t="n">
        <v>5.44</v>
      </c>
    </row>
    <row r="18" customFormat="false" ht="15" hidden="false" customHeight="true" outlineLevel="0" collapsed="false">
      <c r="A18" s="102" t="s">
        <v>178</v>
      </c>
      <c r="B18" s="103" t="n">
        <v>42709</v>
      </c>
      <c r="C18" s="103" t="n">
        <v>42714</v>
      </c>
      <c r="D18" s="102" t="s">
        <v>242</v>
      </c>
      <c r="E18" s="102" t="s">
        <v>360</v>
      </c>
      <c r="F18" s="102" t="s">
        <v>68</v>
      </c>
      <c r="G18" s="102" t="s">
        <v>32</v>
      </c>
      <c r="H18" s="102" t="s">
        <v>134</v>
      </c>
      <c r="I18" s="102" t="s">
        <v>381</v>
      </c>
      <c r="J18" s="104" t="n">
        <v>407.98</v>
      </c>
      <c r="K18" s="105" t="n">
        <v>3</v>
      </c>
      <c r="L18" s="106" t="n">
        <v>0.2</v>
      </c>
      <c r="M18" s="104" t="n">
        <v>132.59</v>
      </c>
    </row>
    <row r="19" customFormat="false" ht="15" hidden="false" customHeight="true" outlineLevel="0" collapsed="false">
      <c r="A19" s="97" t="s">
        <v>179</v>
      </c>
      <c r="B19" s="98" t="n">
        <v>42330</v>
      </c>
      <c r="C19" s="98" t="n">
        <v>42334</v>
      </c>
      <c r="D19" s="97" t="s">
        <v>243</v>
      </c>
      <c r="E19" s="97" t="s">
        <v>382</v>
      </c>
      <c r="F19" s="97" t="s">
        <v>67</v>
      </c>
      <c r="G19" s="97" t="s">
        <v>32</v>
      </c>
      <c r="H19" s="97" t="s">
        <v>159</v>
      </c>
      <c r="I19" s="97" t="s">
        <v>383</v>
      </c>
      <c r="J19" s="99" t="n">
        <v>68.81</v>
      </c>
      <c r="K19" s="100" t="n">
        <v>5</v>
      </c>
      <c r="L19" s="101" t="n">
        <v>0.8</v>
      </c>
      <c r="M19" s="99" t="n">
        <v>-123.86</v>
      </c>
    </row>
    <row r="20" customFormat="false" ht="15" hidden="false" customHeight="true" outlineLevel="0" collapsed="false">
      <c r="A20" s="102" t="s">
        <v>179</v>
      </c>
      <c r="B20" s="103" t="n">
        <v>42330</v>
      </c>
      <c r="C20" s="103" t="n">
        <v>42334</v>
      </c>
      <c r="D20" s="102" t="s">
        <v>243</v>
      </c>
      <c r="E20" s="102" t="s">
        <v>382</v>
      </c>
      <c r="F20" s="102" t="s">
        <v>67</v>
      </c>
      <c r="G20" s="102" t="s">
        <v>32</v>
      </c>
      <c r="H20" s="102" t="s">
        <v>134</v>
      </c>
      <c r="I20" s="102" t="s">
        <v>384</v>
      </c>
      <c r="J20" s="104" t="n">
        <v>2.54</v>
      </c>
      <c r="K20" s="105" t="n">
        <v>3</v>
      </c>
      <c r="L20" s="106" t="n">
        <v>0.8</v>
      </c>
      <c r="M20" s="104" t="n">
        <v>-3.82</v>
      </c>
    </row>
    <row r="21" customFormat="false" ht="15" hidden="false" customHeight="true" outlineLevel="0" collapsed="false">
      <c r="A21" s="97" t="s">
        <v>180</v>
      </c>
      <c r="B21" s="98" t="n">
        <v>41954</v>
      </c>
      <c r="C21" s="98" t="n">
        <v>41961</v>
      </c>
      <c r="D21" s="97" t="s">
        <v>244</v>
      </c>
      <c r="E21" s="97" t="s">
        <v>360</v>
      </c>
      <c r="F21" s="97" t="s">
        <v>67</v>
      </c>
      <c r="G21" s="97" t="s">
        <v>32</v>
      </c>
      <c r="H21" s="97" t="s">
        <v>368</v>
      </c>
      <c r="I21" s="97" t="s">
        <v>385</v>
      </c>
      <c r="J21" s="99" t="n">
        <v>665.88</v>
      </c>
      <c r="K21" s="100" t="n">
        <v>6</v>
      </c>
      <c r="L21" s="101" t="n">
        <v>0</v>
      </c>
      <c r="M21" s="99" t="n">
        <v>13.32</v>
      </c>
    </row>
    <row r="22" customFormat="false" ht="15" hidden="false" customHeight="true" outlineLevel="0" collapsed="false">
      <c r="A22" s="102" t="s">
        <v>181</v>
      </c>
      <c r="B22" s="103" t="n">
        <v>41772</v>
      </c>
      <c r="C22" s="103" t="n">
        <v>41774</v>
      </c>
      <c r="D22" s="102" t="s">
        <v>245</v>
      </c>
      <c r="E22" s="102" t="s">
        <v>360</v>
      </c>
      <c r="F22" s="102" t="s">
        <v>68</v>
      </c>
      <c r="G22" s="102" t="s">
        <v>32</v>
      </c>
      <c r="H22" s="102" t="s">
        <v>368</v>
      </c>
      <c r="I22" s="102" t="s">
        <v>386</v>
      </c>
      <c r="J22" s="104" t="n">
        <v>55.5</v>
      </c>
      <c r="K22" s="105" t="n">
        <v>2</v>
      </c>
      <c r="L22" s="106" t="n">
        <v>0</v>
      </c>
      <c r="M22" s="104" t="n">
        <v>9.99</v>
      </c>
    </row>
    <row r="23" customFormat="false" ht="15" hidden="false" customHeight="true" outlineLevel="0" collapsed="false">
      <c r="A23" s="97" t="s">
        <v>183</v>
      </c>
      <c r="B23" s="98" t="n">
        <v>41878</v>
      </c>
      <c r="C23" s="98" t="n">
        <v>41883</v>
      </c>
      <c r="D23" s="97" t="s">
        <v>246</v>
      </c>
      <c r="E23" s="97" t="s">
        <v>360</v>
      </c>
      <c r="F23" s="97" t="s">
        <v>68</v>
      </c>
      <c r="G23" s="97" t="s">
        <v>32</v>
      </c>
      <c r="H23" s="97" t="s">
        <v>372</v>
      </c>
      <c r="I23" s="97" t="s">
        <v>387</v>
      </c>
      <c r="J23" s="99" t="n">
        <v>8.56</v>
      </c>
      <c r="K23" s="100" t="n">
        <v>2</v>
      </c>
      <c r="L23" s="101" t="n">
        <v>0</v>
      </c>
      <c r="M23" s="99" t="n">
        <v>2.48</v>
      </c>
    </row>
    <row r="24" customFormat="false" ht="15" hidden="false" customHeight="true" outlineLevel="0" collapsed="false">
      <c r="A24" s="102" t="s">
        <v>183</v>
      </c>
      <c r="B24" s="103" t="n">
        <v>41878</v>
      </c>
      <c r="C24" s="103" t="n">
        <v>41883</v>
      </c>
      <c r="D24" s="102" t="s">
        <v>246</v>
      </c>
      <c r="E24" s="102" t="s">
        <v>360</v>
      </c>
      <c r="F24" s="102" t="s">
        <v>68</v>
      </c>
      <c r="G24" s="102" t="s">
        <v>37</v>
      </c>
      <c r="H24" s="102" t="s">
        <v>374</v>
      </c>
      <c r="I24" s="102" t="s">
        <v>388</v>
      </c>
      <c r="J24" s="104" t="n">
        <v>213.48</v>
      </c>
      <c r="K24" s="105" t="n">
        <v>3</v>
      </c>
      <c r="L24" s="106" t="n">
        <v>0.2</v>
      </c>
      <c r="M24" s="104" t="n">
        <v>16.01</v>
      </c>
    </row>
    <row r="25" customFormat="false" ht="15" hidden="false" customHeight="true" outlineLevel="0" collapsed="false">
      <c r="A25" s="97" t="s">
        <v>183</v>
      </c>
      <c r="B25" s="98" t="n">
        <v>41878</v>
      </c>
      <c r="C25" s="98" t="n">
        <v>41883</v>
      </c>
      <c r="D25" s="97" t="s">
        <v>246</v>
      </c>
      <c r="E25" s="97" t="s">
        <v>360</v>
      </c>
      <c r="F25" s="97" t="s">
        <v>68</v>
      </c>
      <c r="G25" s="97" t="s">
        <v>32</v>
      </c>
      <c r="H25" s="97" t="s">
        <v>134</v>
      </c>
      <c r="I25" s="97" t="s">
        <v>389</v>
      </c>
      <c r="J25" s="99" t="n">
        <v>22.72</v>
      </c>
      <c r="K25" s="100" t="n">
        <v>4</v>
      </c>
      <c r="L25" s="101" t="n">
        <v>0.2</v>
      </c>
      <c r="M25" s="99" t="n">
        <v>7.38</v>
      </c>
    </row>
    <row r="26" customFormat="false" ht="15" hidden="false" customHeight="true" outlineLevel="0" collapsed="false">
      <c r="A26" s="102" t="s">
        <v>184</v>
      </c>
      <c r="B26" s="103" t="n">
        <v>42713</v>
      </c>
      <c r="C26" s="103" t="n">
        <v>42717</v>
      </c>
      <c r="D26" s="102" t="s">
        <v>247</v>
      </c>
      <c r="E26" s="102" t="s">
        <v>364</v>
      </c>
      <c r="F26" s="102" t="s">
        <v>67</v>
      </c>
      <c r="G26" s="102" t="s">
        <v>32</v>
      </c>
      <c r="H26" s="102" t="s">
        <v>372</v>
      </c>
      <c r="I26" s="102" t="s">
        <v>390</v>
      </c>
      <c r="J26" s="104" t="n">
        <v>19.46</v>
      </c>
      <c r="K26" s="105" t="n">
        <v>7</v>
      </c>
      <c r="L26" s="106" t="n">
        <v>0</v>
      </c>
      <c r="M26" s="104" t="n">
        <v>5.06</v>
      </c>
    </row>
    <row r="27" customFormat="false" ht="15" hidden="false" customHeight="true" outlineLevel="0" collapsed="false">
      <c r="A27" s="97" t="s">
        <v>184</v>
      </c>
      <c r="B27" s="98" t="n">
        <v>42713</v>
      </c>
      <c r="C27" s="98" t="n">
        <v>42717</v>
      </c>
      <c r="D27" s="97" t="s">
        <v>247</v>
      </c>
      <c r="E27" s="97" t="s">
        <v>364</v>
      </c>
      <c r="F27" s="97" t="s">
        <v>67</v>
      </c>
      <c r="G27" s="97" t="s">
        <v>32</v>
      </c>
      <c r="H27" s="97" t="s">
        <v>159</v>
      </c>
      <c r="I27" s="97" t="s">
        <v>391</v>
      </c>
      <c r="J27" s="99" t="n">
        <v>60.34</v>
      </c>
      <c r="K27" s="100" t="n">
        <v>7</v>
      </c>
      <c r="L27" s="101" t="n">
        <v>0</v>
      </c>
      <c r="M27" s="99" t="n">
        <v>15.69</v>
      </c>
    </row>
    <row r="28" customFormat="false" ht="15" hidden="false" customHeight="true" outlineLevel="0" collapsed="false">
      <c r="A28" s="102" t="s">
        <v>185</v>
      </c>
      <c r="B28" s="103" t="n">
        <v>42932</v>
      </c>
      <c r="C28" s="103" t="n">
        <v>42934</v>
      </c>
      <c r="D28" s="102" t="s">
        <v>248</v>
      </c>
      <c r="E28" s="102" t="s">
        <v>360</v>
      </c>
      <c r="F28" s="102" t="s">
        <v>69</v>
      </c>
      <c r="G28" s="102" t="s">
        <v>237</v>
      </c>
      <c r="H28" s="102" t="s">
        <v>362</v>
      </c>
      <c r="I28" s="102" t="s">
        <v>392</v>
      </c>
      <c r="J28" s="104" t="n">
        <v>71.37</v>
      </c>
      <c r="K28" s="105" t="n">
        <v>2</v>
      </c>
      <c r="L28" s="106" t="n">
        <v>0.3</v>
      </c>
      <c r="M28" s="104" t="n">
        <v>-1.02</v>
      </c>
    </row>
    <row r="29" customFormat="false" ht="15" hidden="false" customHeight="true" outlineLevel="0" collapsed="false">
      <c r="A29" s="97" t="s">
        <v>186</v>
      </c>
      <c r="B29" s="98" t="n">
        <v>42272</v>
      </c>
      <c r="C29" s="98" t="n">
        <v>42277</v>
      </c>
      <c r="D29" s="97" t="s">
        <v>249</v>
      </c>
      <c r="E29" s="97" t="s">
        <v>360</v>
      </c>
      <c r="F29" s="97" t="s">
        <v>68</v>
      </c>
      <c r="G29" s="97" t="s">
        <v>237</v>
      </c>
      <c r="H29" s="97" t="s">
        <v>366</v>
      </c>
      <c r="I29" s="97" t="s">
        <v>367</v>
      </c>
      <c r="J29" s="99" t="n">
        <v>1044.63</v>
      </c>
      <c r="K29" s="100" t="n">
        <v>3</v>
      </c>
      <c r="L29" s="101" t="n">
        <v>0</v>
      </c>
      <c r="M29" s="99" t="n">
        <v>240.26</v>
      </c>
    </row>
    <row r="30" customFormat="false" ht="15" hidden="false" customHeight="true" outlineLevel="0" collapsed="false">
      <c r="A30" s="102" t="s">
        <v>187</v>
      </c>
      <c r="B30" s="103" t="n">
        <v>42385</v>
      </c>
      <c r="C30" s="103" t="n">
        <v>42389</v>
      </c>
      <c r="D30" s="102" t="s">
        <v>250</v>
      </c>
      <c r="E30" s="102" t="s">
        <v>360</v>
      </c>
      <c r="F30" s="102" t="s">
        <v>68</v>
      </c>
      <c r="G30" s="102" t="s">
        <v>32</v>
      </c>
      <c r="H30" s="102" t="s">
        <v>134</v>
      </c>
      <c r="I30" s="102" t="s">
        <v>393</v>
      </c>
      <c r="J30" s="104" t="n">
        <v>11.65</v>
      </c>
      <c r="K30" s="105" t="n">
        <v>2</v>
      </c>
      <c r="L30" s="106" t="n">
        <v>0.2</v>
      </c>
      <c r="M30" s="104" t="n">
        <v>4.22</v>
      </c>
    </row>
    <row r="31" customFormat="false" ht="15" hidden="false" customHeight="true" outlineLevel="0" collapsed="false">
      <c r="A31" s="97" t="s">
        <v>187</v>
      </c>
      <c r="B31" s="98" t="n">
        <v>42385</v>
      </c>
      <c r="C31" s="98" t="n">
        <v>42389</v>
      </c>
      <c r="D31" s="97" t="s">
        <v>250</v>
      </c>
      <c r="E31" s="97" t="s">
        <v>360</v>
      </c>
      <c r="F31" s="97" t="s">
        <v>68</v>
      </c>
      <c r="G31" s="97" t="s">
        <v>37</v>
      </c>
      <c r="H31" s="97" t="s">
        <v>394</v>
      </c>
      <c r="I31" s="97" t="s">
        <v>395</v>
      </c>
      <c r="J31" s="99" t="n">
        <v>90.57</v>
      </c>
      <c r="K31" s="100" t="n">
        <v>3</v>
      </c>
      <c r="L31" s="101" t="n">
        <v>0</v>
      </c>
      <c r="M31" s="99" t="n">
        <v>11.77</v>
      </c>
    </row>
    <row r="32" customFormat="false" ht="15" hidden="false" customHeight="true" outlineLevel="0" collapsed="false">
      <c r="A32" s="102" t="s">
        <v>188</v>
      </c>
      <c r="B32" s="103" t="n">
        <v>42264</v>
      </c>
      <c r="C32" s="103" t="n">
        <v>42268</v>
      </c>
      <c r="D32" s="102" t="s">
        <v>251</v>
      </c>
      <c r="E32" s="102" t="s">
        <v>360</v>
      </c>
      <c r="F32" s="102" t="s">
        <v>69</v>
      </c>
      <c r="G32" s="102" t="s">
        <v>237</v>
      </c>
      <c r="H32" s="102" t="s">
        <v>361</v>
      </c>
      <c r="I32" s="102" t="s">
        <v>396</v>
      </c>
      <c r="J32" s="104" t="n">
        <v>3083.43</v>
      </c>
      <c r="K32" s="105" t="n">
        <v>7</v>
      </c>
      <c r="L32" s="106" t="n">
        <v>0.5</v>
      </c>
      <c r="M32" s="104" t="n">
        <v>-1665.05</v>
      </c>
    </row>
    <row r="33" customFormat="false" ht="15" hidden="false" customHeight="true" outlineLevel="0" collapsed="false">
      <c r="A33" s="97" t="s">
        <v>188</v>
      </c>
      <c r="B33" s="98" t="n">
        <v>42264</v>
      </c>
      <c r="C33" s="98" t="n">
        <v>42268</v>
      </c>
      <c r="D33" s="97" t="s">
        <v>251</v>
      </c>
      <c r="E33" s="97" t="s">
        <v>360</v>
      </c>
      <c r="F33" s="97" t="s">
        <v>69</v>
      </c>
      <c r="G33" s="97" t="s">
        <v>32</v>
      </c>
      <c r="H33" s="97" t="s">
        <v>134</v>
      </c>
      <c r="I33" s="97" t="s">
        <v>397</v>
      </c>
      <c r="J33" s="99" t="n">
        <v>9.62</v>
      </c>
      <c r="K33" s="100" t="n">
        <v>2</v>
      </c>
      <c r="L33" s="101" t="n">
        <v>0.7</v>
      </c>
      <c r="M33" s="99" t="n">
        <v>-7.05</v>
      </c>
    </row>
    <row r="34" customFormat="false" ht="15" hidden="false" customHeight="true" outlineLevel="0" collapsed="false">
      <c r="A34" s="102" t="s">
        <v>188</v>
      </c>
      <c r="B34" s="103" t="n">
        <v>42264</v>
      </c>
      <c r="C34" s="103" t="n">
        <v>42268</v>
      </c>
      <c r="D34" s="102" t="s">
        <v>251</v>
      </c>
      <c r="E34" s="102" t="s">
        <v>360</v>
      </c>
      <c r="F34" s="102" t="s">
        <v>69</v>
      </c>
      <c r="G34" s="102" t="s">
        <v>237</v>
      </c>
      <c r="H34" s="102" t="s">
        <v>370</v>
      </c>
      <c r="I34" s="102" t="s">
        <v>398</v>
      </c>
      <c r="J34" s="104" t="n">
        <v>124.2</v>
      </c>
      <c r="K34" s="105" t="n">
        <v>3</v>
      </c>
      <c r="L34" s="106" t="n">
        <v>0.2</v>
      </c>
      <c r="M34" s="104" t="n">
        <v>15.53</v>
      </c>
    </row>
    <row r="35" customFormat="false" ht="15" hidden="false" customHeight="true" outlineLevel="0" collapsed="false">
      <c r="A35" s="97" t="s">
        <v>188</v>
      </c>
      <c r="B35" s="98" t="n">
        <v>42264</v>
      </c>
      <c r="C35" s="98" t="n">
        <v>42268</v>
      </c>
      <c r="D35" s="97" t="s">
        <v>251</v>
      </c>
      <c r="E35" s="97" t="s">
        <v>360</v>
      </c>
      <c r="F35" s="97" t="s">
        <v>69</v>
      </c>
      <c r="G35" s="97" t="s">
        <v>32</v>
      </c>
      <c r="H35" s="97" t="s">
        <v>151</v>
      </c>
      <c r="I35" s="97" t="s">
        <v>399</v>
      </c>
      <c r="J35" s="99" t="n">
        <v>3.26</v>
      </c>
      <c r="K35" s="100" t="n">
        <v>2</v>
      </c>
      <c r="L35" s="101" t="n">
        <v>0.2</v>
      </c>
      <c r="M35" s="99" t="n">
        <v>1.1</v>
      </c>
    </row>
    <row r="36" customFormat="false" ht="15" hidden="false" customHeight="true" outlineLevel="0" collapsed="false">
      <c r="A36" s="102" t="s">
        <v>188</v>
      </c>
      <c r="B36" s="103" t="n">
        <v>42264</v>
      </c>
      <c r="C36" s="103" t="n">
        <v>42268</v>
      </c>
      <c r="D36" s="102" t="s">
        <v>251</v>
      </c>
      <c r="E36" s="102" t="s">
        <v>360</v>
      </c>
      <c r="F36" s="102" t="s">
        <v>69</v>
      </c>
      <c r="G36" s="102" t="s">
        <v>32</v>
      </c>
      <c r="H36" s="102" t="s">
        <v>372</v>
      </c>
      <c r="I36" s="102" t="s">
        <v>400</v>
      </c>
      <c r="J36" s="104" t="n">
        <v>86.3</v>
      </c>
      <c r="K36" s="105" t="n">
        <v>6</v>
      </c>
      <c r="L36" s="106" t="n">
        <v>0.2</v>
      </c>
      <c r="M36" s="104" t="n">
        <v>9.71</v>
      </c>
    </row>
    <row r="37" customFormat="false" ht="15" hidden="false" customHeight="true" outlineLevel="0" collapsed="false">
      <c r="A37" s="97" t="s">
        <v>188</v>
      </c>
      <c r="B37" s="98" t="n">
        <v>42264</v>
      </c>
      <c r="C37" s="98" t="n">
        <v>42268</v>
      </c>
      <c r="D37" s="97" t="s">
        <v>251</v>
      </c>
      <c r="E37" s="97" t="s">
        <v>360</v>
      </c>
      <c r="F37" s="97" t="s">
        <v>69</v>
      </c>
      <c r="G37" s="97" t="s">
        <v>32</v>
      </c>
      <c r="H37" s="97" t="s">
        <v>134</v>
      </c>
      <c r="I37" s="97" t="s">
        <v>401</v>
      </c>
      <c r="J37" s="99" t="n">
        <v>6.86</v>
      </c>
      <c r="K37" s="100" t="n">
        <v>6</v>
      </c>
      <c r="L37" s="101" t="n">
        <v>0.7</v>
      </c>
      <c r="M37" s="99" t="n">
        <v>-5.71</v>
      </c>
    </row>
    <row r="38" customFormat="false" ht="15" hidden="false" customHeight="true" outlineLevel="0" collapsed="false">
      <c r="A38" s="102" t="s">
        <v>188</v>
      </c>
      <c r="B38" s="103" t="n">
        <v>42264</v>
      </c>
      <c r="C38" s="103" t="n">
        <v>42268</v>
      </c>
      <c r="D38" s="102" t="s">
        <v>251</v>
      </c>
      <c r="E38" s="102" t="s">
        <v>360</v>
      </c>
      <c r="F38" s="102" t="s">
        <v>69</v>
      </c>
      <c r="G38" s="102" t="s">
        <v>32</v>
      </c>
      <c r="H38" s="102" t="s">
        <v>372</v>
      </c>
      <c r="I38" s="102" t="s">
        <v>402</v>
      </c>
      <c r="J38" s="104" t="n">
        <v>15.76</v>
      </c>
      <c r="K38" s="105" t="n">
        <v>2</v>
      </c>
      <c r="L38" s="106" t="n">
        <v>0.2</v>
      </c>
      <c r="M38" s="104" t="n">
        <v>3.55</v>
      </c>
    </row>
    <row r="39" customFormat="false" ht="15" hidden="false" customHeight="true" outlineLevel="0" collapsed="false">
      <c r="A39" s="97" t="s">
        <v>403</v>
      </c>
      <c r="B39" s="98" t="n">
        <v>43027</v>
      </c>
      <c r="C39" s="98" t="n">
        <v>43031</v>
      </c>
      <c r="D39" s="97" t="s">
        <v>252</v>
      </c>
      <c r="E39" s="97" t="s">
        <v>382</v>
      </c>
      <c r="F39" s="97" t="s">
        <v>67</v>
      </c>
      <c r="G39" s="97" t="s">
        <v>32</v>
      </c>
      <c r="H39" s="97" t="s">
        <v>149</v>
      </c>
      <c r="I39" s="97" t="s">
        <v>404</v>
      </c>
      <c r="J39" s="99" t="n">
        <v>29.47</v>
      </c>
      <c r="K39" s="100" t="n">
        <v>3</v>
      </c>
      <c r="L39" s="101" t="n">
        <v>0.2</v>
      </c>
      <c r="M39" s="99" t="n">
        <v>9.95</v>
      </c>
    </row>
    <row r="40" customFormat="false" ht="15" hidden="false" customHeight="true" outlineLevel="0" collapsed="false">
      <c r="A40" s="102" t="s">
        <v>405</v>
      </c>
      <c r="B40" s="103" t="n">
        <v>42712</v>
      </c>
      <c r="C40" s="103" t="n">
        <v>42714</v>
      </c>
      <c r="D40" s="102" t="s">
        <v>253</v>
      </c>
      <c r="E40" s="102" t="s">
        <v>364</v>
      </c>
      <c r="F40" s="102" t="s">
        <v>67</v>
      </c>
      <c r="G40" s="102" t="s">
        <v>37</v>
      </c>
      <c r="H40" s="102" t="s">
        <v>374</v>
      </c>
      <c r="I40" s="102" t="s">
        <v>406</v>
      </c>
      <c r="J40" s="104" t="n">
        <v>1097.54</v>
      </c>
      <c r="K40" s="105" t="n">
        <v>7</v>
      </c>
      <c r="L40" s="106" t="n">
        <v>0.2</v>
      </c>
      <c r="M40" s="104" t="n">
        <v>123.47</v>
      </c>
    </row>
    <row r="41" customFormat="false" ht="15" hidden="false" customHeight="true" outlineLevel="0" collapsed="false">
      <c r="A41" s="97" t="s">
        <v>405</v>
      </c>
      <c r="B41" s="98" t="n">
        <v>42712</v>
      </c>
      <c r="C41" s="98" t="n">
        <v>42714</v>
      </c>
      <c r="D41" s="97" t="s">
        <v>253</v>
      </c>
      <c r="E41" s="97" t="s">
        <v>364</v>
      </c>
      <c r="F41" s="97" t="s">
        <v>67</v>
      </c>
      <c r="G41" s="97" t="s">
        <v>237</v>
      </c>
      <c r="H41" s="97" t="s">
        <v>370</v>
      </c>
      <c r="I41" s="97" t="s">
        <v>407</v>
      </c>
      <c r="J41" s="99" t="n">
        <v>190.92</v>
      </c>
      <c r="K41" s="100" t="n">
        <v>5</v>
      </c>
      <c r="L41" s="101" t="n">
        <v>0.6</v>
      </c>
      <c r="M41" s="99" t="n">
        <v>-147.96</v>
      </c>
    </row>
    <row r="42" customFormat="false" ht="15" hidden="false" customHeight="true" outlineLevel="0" collapsed="false">
      <c r="A42" s="102" t="s">
        <v>408</v>
      </c>
      <c r="B42" s="103" t="n">
        <v>42365</v>
      </c>
      <c r="C42" s="103" t="n">
        <v>42369</v>
      </c>
      <c r="D42" s="102" t="s">
        <v>254</v>
      </c>
      <c r="E42" s="102" t="s">
        <v>382</v>
      </c>
      <c r="F42" s="102" t="s">
        <v>67</v>
      </c>
      <c r="G42" s="102" t="s">
        <v>32</v>
      </c>
      <c r="H42" s="102" t="s">
        <v>151</v>
      </c>
      <c r="I42" s="102" t="s">
        <v>409</v>
      </c>
      <c r="J42" s="104" t="n">
        <v>113.33</v>
      </c>
      <c r="K42" s="105" t="n">
        <v>9</v>
      </c>
      <c r="L42" s="106" t="n">
        <v>0.2</v>
      </c>
      <c r="M42" s="104" t="n">
        <v>35.41</v>
      </c>
    </row>
    <row r="43" customFormat="false" ht="15" hidden="false" customHeight="true" outlineLevel="0" collapsed="false">
      <c r="A43" s="97" t="s">
        <v>408</v>
      </c>
      <c r="B43" s="98" t="n">
        <v>42365</v>
      </c>
      <c r="C43" s="98" t="n">
        <v>42369</v>
      </c>
      <c r="D43" s="97" t="s">
        <v>254</v>
      </c>
      <c r="E43" s="97" t="s">
        <v>382</v>
      </c>
      <c r="F43" s="97" t="s">
        <v>67</v>
      </c>
      <c r="G43" s="97" t="s">
        <v>237</v>
      </c>
      <c r="H43" s="97" t="s">
        <v>361</v>
      </c>
      <c r="I43" s="97" t="s">
        <v>410</v>
      </c>
      <c r="J43" s="99" t="n">
        <v>532.4</v>
      </c>
      <c r="K43" s="100" t="n">
        <v>3</v>
      </c>
      <c r="L43" s="101" t="n">
        <v>0.32</v>
      </c>
      <c r="M43" s="99" t="n">
        <v>-46.98</v>
      </c>
    </row>
    <row r="44" customFormat="false" ht="15" hidden="false" customHeight="true" outlineLevel="0" collapsed="false">
      <c r="A44" s="102" t="s">
        <v>408</v>
      </c>
      <c r="B44" s="103" t="n">
        <v>42365</v>
      </c>
      <c r="C44" s="103" t="n">
        <v>42369</v>
      </c>
      <c r="D44" s="102" t="s">
        <v>254</v>
      </c>
      <c r="E44" s="102" t="s">
        <v>382</v>
      </c>
      <c r="F44" s="102" t="s">
        <v>67</v>
      </c>
      <c r="G44" s="102" t="s">
        <v>237</v>
      </c>
      <c r="H44" s="102" t="s">
        <v>362</v>
      </c>
      <c r="I44" s="102" t="s">
        <v>411</v>
      </c>
      <c r="J44" s="104" t="n">
        <v>212.06</v>
      </c>
      <c r="K44" s="105" t="n">
        <v>3</v>
      </c>
      <c r="L44" s="106" t="n">
        <v>0.3</v>
      </c>
      <c r="M44" s="104" t="n">
        <v>-15.15</v>
      </c>
    </row>
    <row r="45" customFormat="false" ht="15" hidden="false" customHeight="true" outlineLevel="0" collapsed="false">
      <c r="A45" s="97" t="s">
        <v>408</v>
      </c>
      <c r="B45" s="98" t="n">
        <v>42365</v>
      </c>
      <c r="C45" s="98" t="n">
        <v>42369</v>
      </c>
      <c r="D45" s="97" t="s">
        <v>254</v>
      </c>
      <c r="E45" s="97" t="s">
        <v>382</v>
      </c>
      <c r="F45" s="97" t="s">
        <v>67</v>
      </c>
      <c r="G45" s="97" t="s">
        <v>37</v>
      </c>
      <c r="H45" s="97" t="s">
        <v>374</v>
      </c>
      <c r="I45" s="97" t="s">
        <v>412</v>
      </c>
      <c r="J45" s="99" t="n">
        <v>371.17</v>
      </c>
      <c r="K45" s="100" t="n">
        <v>4</v>
      </c>
      <c r="L45" s="101" t="n">
        <v>0.2</v>
      </c>
      <c r="M45" s="99" t="n">
        <v>41.76</v>
      </c>
    </row>
    <row r="46" customFormat="false" ht="15" hidden="false" customHeight="true" outlineLevel="0" collapsed="false">
      <c r="A46" s="102" t="s">
        <v>413</v>
      </c>
      <c r="B46" s="103" t="n">
        <v>42988</v>
      </c>
      <c r="C46" s="103" t="n">
        <v>42993</v>
      </c>
      <c r="D46" s="102" t="s">
        <v>255</v>
      </c>
      <c r="E46" s="102" t="s">
        <v>364</v>
      </c>
      <c r="F46" s="102" t="s">
        <v>67</v>
      </c>
      <c r="G46" s="102" t="s">
        <v>37</v>
      </c>
      <c r="H46" s="102" t="s">
        <v>374</v>
      </c>
      <c r="I46" s="102" t="s">
        <v>414</v>
      </c>
      <c r="J46" s="104" t="n">
        <v>147.17</v>
      </c>
      <c r="K46" s="105" t="n">
        <v>4</v>
      </c>
      <c r="L46" s="106" t="n">
        <v>0.2</v>
      </c>
      <c r="M46" s="104" t="n">
        <v>16.56</v>
      </c>
    </row>
    <row r="47" customFormat="false" ht="15" hidden="false" customHeight="true" outlineLevel="0" collapsed="false">
      <c r="A47" s="97" t="s">
        <v>415</v>
      </c>
      <c r="B47" s="98" t="n">
        <v>42568</v>
      </c>
      <c r="C47" s="98" t="n">
        <v>42573</v>
      </c>
      <c r="D47" s="97" t="s">
        <v>256</v>
      </c>
      <c r="E47" s="97" t="s">
        <v>364</v>
      </c>
      <c r="F47" s="97" t="s">
        <v>68</v>
      </c>
      <c r="G47" s="97" t="s">
        <v>32</v>
      </c>
      <c r="H47" s="97" t="s">
        <v>368</v>
      </c>
      <c r="I47" s="97" t="s">
        <v>416</v>
      </c>
      <c r="J47" s="99" t="n">
        <v>77.88</v>
      </c>
      <c r="K47" s="100" t="n">
        <v>2</v>
      </c>
      <c r="L47" s="101" t="n">
        <v>0</v>
      </c>
      <c r="M47" s="99" t="n">
        <v>3.89</v>
      </c>
    </row>
    <row r="48" customFormat="false" ht="15" hidden="false" customHeight="true" outlineLevel="0" collapsed="false">
      <c r="A48" s="102" t="s">
        <v>417</v>
      </c>
      <c r="B48" s="103" t="n">
        <v>42997</v>
      </c>
      <c r="C48" s="103" t="n">
        <v>43001</v>
      </c>
      <c r="D48" s="102" t="s">
        <v>418</v>
      </c>
      <c r="E48" s="102" t="s">
        <v>364</v>
      </c>
      <c r="F48" s="102" t="s">
        <v>64</v>
      </c>
      <c r="G48" s="102" t="s">
        <v>32</v>
      </c>
      <c r="H48" s="102" t="s">
        <v>368</v>
      </c>
      <c r="I48" s="102" t="s">
        <v>419</v>
      </c>
      <c r="J48" s="104" t="n">
        <v>95.62</v>
      </c>
      <c r="K48" s="105" t="n">
        <v>2</v>
      </c>
      <c r="L48" s="106" t="n">
        <v>0.2</v>
      </c>
      <c r="M48" s="104" t="n">
        <v>9.56</v>
      </c>
    </row>
    <row r="49" customFormat="false" ht="15" hidden="false" customHeight="true" outlineLevel="0" collapsed="false">
      <c r="A49" s="97" t="s">
        <v>420</v>
      </c>
      <c r="B49" s="98" t="n">
        <v>42440</v>
      </c>
      <c r="C49" s="98" t="n">
        <v>42442</v>
      </c>
      <c r="D49" s="97" t="s">
        <v>421</v>
      </c>
      <c r="E49" s="97" t="s">
        <v>364</v>
      </c>
      <c r="F49" s="97" t="s">
        <v>67</v>
      </c>
      <c r="G49" s="97" t="s">
        <v>37</v>
      </c>
      <c r="H49" s="97" t="s">
        <v>394</v>
      </c>
      <c r="I49" s="97" t="s">
        <v>422</v>
      </c>
      <c r="J49" s="99" t="n">
        <v>45.98</v>
      </c>
      <c r="K49" s="100" t="n">
        <v>2</v>
      </c>
      <c r="L49" s="101" t="n">
        <v>0</v>
      </c>
      <c r="M49" s="99" t="n">
        <v>19.77</v>
      </c>
    </row>
    <row r="50" customFormat="false" ht="15" hidden="false" customHeight="true" outlineLevel="0" collapsed="false">
      <c r="A50" s="102" t="s">
        <v>420</v>
      </c>
      <c r="B50" s="103" t="n">
        <v>42440</v>
      </c>
      <c r="C50" s="103" t="n">
        <v>42442</v>
      </c>
      <c r="D50" s="102" t="s">
        <v>421</v>
      </c>
      <c r="E50" s="102" t="s">
        <v>364</v>
      </c>
      <c r="F50" s="102" t="s">
        <v>67</v>
      </c>
      <c r="G50" s="102" t="s">
        <v>32</v>
      </c>
      <c r="H50" s="102" t="s">
        <v>134</v>
      </c>
      <c r="I50" s="102" t="s">
        <v>423</v>
      </c>
      <c r="J50" s="104" t="n">
        <v>17.46</v>
      </c>
      <c r="K50" s="105" t="n">
        <v>2</v>
      </c>
      <c r="L50" s="106" t="n">
        <v>0</v>
      </c>
      <c r="M50" s="104" t="n">
        <v>8.21</v>
      </c>
    </row>
    <row r="51" customFormat="false" ht="15" hidden="false" customHeight="true" outlineLevel="0" collapsed="false">
      <c r="A51" s="97" t="s">
        <v>424</v>
      </c>
      <c r="B51" s="98" t="n">
        <v>41932</v>
      </c>
      <c r="C51" s="98" t="n">
        <v>41937</v>
      </c>
      <c r="D51" s="97" t="s">
        <v>425</v>
      </c>
      <c r="E51" s="97" t="s">
        <v>360</v>
      </c>
      <c r="F51" s="97" t="s">
        <v>67</v>
      </c>
      <c r="G51" s="97" t="s">
        <v>32</v>
      </c>
      <c r="H51" s="97" t="s">
        <v>368</v>
      </c>
      <c r="I51" s="97" t="s">
        <v>426</v>
      </c>
      <c r="J51" s="99" t="n">
        <v>211.96</v>
      </c>
      <c r="K51" s="100" t="n">
        <v>4</v>
      </c>
      <c r="L51" s="101" t="n">
        <v>0</v>
      </c>
      <c r="M51" s="99" t="n">
        <v>8.48</v>
      </c>
    </row>
    <row r="52" customFormat="false" ht="15" hidden="false" customHeight="true" outlineLevel="0" collapsed="false">
      <c r="A52" s="102" t="s">
        <v>427</v>
      </c>
      <c r="B52" s="103" t="n">
        <v>42541</v>
      </c>
      <c r="C52" s="103" t="n">
        <v>42546</v>
      </c>
      <c r="D52" s="102" t="s">
        <v>428</v>
      </c>
      <c r="E52" s="102" t="s">
        <v>360</v>
      </c>
      <c r="F52" s="102" t="s">
        <v>69</v>
      </c>
      <c r="G52" s="102" t="s">
        <v>37</v>
      </c>
      <c r="H52" s="102" t="s">
        <v>394</v>
      </c>
      <c r="I52" s="102" t="s">
        <v>429</v>
      </c>
      <c r="J52" s="104" t="n">
        <v>45</v>
      </c>
      <c r="K52" s="105" t="n">
        <v>3</v>
      </c>
      <c r="L52" s="106" t="n">
        <v>0</v>
      </c>
      <c r="M52" s="104" t="n">
        <v>4.95</v>
      </c>
    </row>
    <row r="53" customFormat="false" ht="15" hidden="false" customHeight="true" outlineLevel="0" collapsed="false">
      <c r="A53" s="97" t="s">
        <v>427</v>
      </c>
      <c r="B53" s="98" t="n">
        <v>42541</v>
      </c>
      <c r="C53" s="98" t="n">
        <v>42546</v>
      </c>
      <c r="D53" s="97" t="s">
        <v>428</v>
      </c>
      <c r="E53" s="97" t="s">
        <v>360</v>
      </c>
      <c r="F53" s="97" t="s">
        <v>69</v>
      </c>
      <c r="G53" s="97" t="s">
        <v>37</v>
      </c>
      <c r="H53" s="97" t="s">
        <v>374</v>
      </c>
      <c r="I53" s="97" t="s">
        <v>430</v>
      </c>
      <c r="J53" s="99" t="n">
        <v>21.8</v>
      </c>
      <c r="K53" s="100" t="n">
        <v>2</v>
      </c>
      <c r="L53" s="101" t="n">
        <v>0</v>
      </c>
      <c r="M53" s="99" t="n">
        <v>6.1</v>
      </c>
    </row>
    <row r="54" customFormat="false" ht="15" hidden="false" customHeight="true" outlineLevel="0" collapsed="false">
      <c r="A54" s="102" t="s">
        <v>431</v>
      </c>
      <c r="B54" s="103" t="n">
        <v>42112</v>
      </c>
      <c r="C54" s="103" t="n">
        <v>42116</v>
      </c>
      <c r="D54" s="102" t="s">
        <v>432</v>
      </c>
      <c r="E54" s="102" t="s">
        <v>360</v>
      </c>
      <c r="F54" s="102" t="s">
        <v>67</v>
      </c>
      <c r="G54" s="102" t="s">
        <v>32</v>
      </c>
      <c r="H54" s="102" t="s">
        <v>134</v>
      </c>
      <c r="I54" s="102" t="s">
        <v>433</v>
      </c>
      <c r="J54" s="104" t="n">
        <v>38.22</v>
      </c>
      <c r="K54" s="105" t="n">
        <v>6</v>
      </c>
      <c r="L54" s="106" t="n">
        <v>0</v>
      </c>
      <c r="M54" s="104" t="n">
        <v>17.96</v>
      </c>
    </row>
    <row r="56" customFormat="false" ht="21.75" hidden="false" customHeight="true" outlineLevel="0" collapsed="false">
      <c r="A56" s="93" t="s">
        <v>434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</row>
    <row r="57" customFormat="false" ht="19.5" hidden="false" customHeight="true" outlineLevel="0" collapsed="false">
      <c r="A57" s="94" t="s">
        <v>435</v>
      </c>
      <c r="B57" s="94" t="s">
        <v>436</v>
      </c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</row>
    <row r="58" customFormat="false" ht="39.75" hidden="false" customHeight="true" outlineLevel="0" collapsed="false">
      <c r="A58" s="80" t="s">
        <v>437</v>
      </c>
      <c r="B58" s="107" t="s">
        <v>438</v>
      </c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</row>
    <row r="59" customFormat="false" ht="39.75" hidden="false" customHeight="true" outlineLevel="0" collapsed="false">
      <c r="A59" s="82" t="s">
        <v>439</v>
      </c>
      <c r="B59" s="108" t="s">
        <v>440</v>
      </c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</row>
    <row r="60" customFormat="false" ht="39.75" hidden="false" customHeight="true" outlineLevel="0" collapsed="false">
      <c r="A60" s="80" t="s">
        <v>441</v>
      </c>
      <c r="B60" s="107" t="s">
        <v>442</v>
      </c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</row>
    <row r="61" customFormat="false" ht="39.75" hidden="false" customHeight="true" outlineLevel="0" collapsed="false">
      <c r="A61" s="82" t="s">
        <v>443</v>
      </c>
      <c r="B61" s="108" t="s">
        <v>444</v>
      </c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</row>
    <row r="62" customFormat="false" ht="39.75" hidden="false" customHeight="true" outlineLevel="0" collapsed="false">
      <c r="A62" s="80" t="s">
        <v>445</v>
      </c>
      <c r="B62" s="107" t="s">
        <v>446</v>
      </c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</row>
    <row r="63" customFormat="false" ht="39.75" hidden="false" customHeight="true" outlineLevel="0" collapsed="false">
      <c r="A63" s="82" t="s">
        <v>447</v>
      </c>
      <c r="B63" s="108" t="s">
        <v>448</v>
      </c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</row>
  </sheetData>
  <mergeCells count="10">
    <mergeCell ref="A1:M1"/>
    <mergeCell ref="A3:M3"/>
    <mergeCell ref="A56:M56"/>
    <mergeCell ref="B57:M57"/>
    <mergeCell ref="B58:M58"/>
    <mergeCell ref="B59:M59"/>
    <mergeCell ref="B60:M60"/>
    <mergeCell ref="B61:M61"/>
    <mergeCell ref="B62:M62"/>
    <mergeCell ref="B63:M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6" min="6" style="1" width="18"/>
    <col collapsed="false" customWidth="true" hidden="false" outlineLevel="0" max="8" min="7" style="1" width="12"/>
    <col collapsed="false" customWidth="true" hidden="false" outlineLevel="0" max="10" min="9" style="1" width="16"/>
  </cols>
  <sheetData>
    <row r="1" customFormat="false" ht="30" hidden="false" customHeight="true" outlineLevel="0" collapsed="false">
      <c r="A1" s="65" t="s">
        <v>449</v>
      </c>
      <c r="B1" s="65"/>
      <c r="C1" s="65"/>
      <c r="D1" s="65"/>
      <c r="E1" s="65"/>
      <c r="F1" s="65"/>
      <c r="G1" s="65"/>
      <c r="H1" s="65"/>
      <c r="I1" s="65"/>
      <c r="J1" s="65"/>
    </row>
    <row r="3" customFormat="false" ht="21.75" hidden="false" customHeight="true" outlineLevel="0" collapsed="false">
      <c r="A3" s="66" t="s">
        <v>450</v>
      </c>
      <c r="B3" s="66"/>
      <c r="C3" s="66"/>
      <c r="D3" s="66"/>
      <c r="E3" s="66"/>
      <c r="F3" s="66"/>
      <c r="G3" s="66"/>
      <c r="H3" s="66"/>
      <c r="I3" s="66"/>
      <c r="J3" s="66"/>
    </row>
    <row r="4" customFormat="false" ht="27.75" hidden="false" customHeight="true" outlineLevel="0" collapsed="false">
      <c r="A4" s="67" t="s">
        <v>451</v>
      </c>
      <c r="B4" s="67" t="s">
        <v>28</v>
      </c>
      <c r="C4" s="67" t="s">
        <v>29</v>
      </c>
      <c r="D4" s="67" t="s">
        <v>126</v>
      </c>
      <c r="E4" s="67" t="s">
        <v>452</v>
      </c>
      <c r="F4" s="67" t="s">
        <v>453</v>
      </c>
      <c r="G4" s="67" t="s">
        <v>454</v>
      </c>
      <c r="H4" s="67" t="s">
        <v>455</v>
      </c>
      <c r="I4" s="67"/>
      <c r="J4" s="67"/>
    </row>
    <row r="5" customFormat="false" ht="23.25" hidden="false" customHeight="true" outlineLevel="0" collapsed="false">
      <c r="A5" s="108" t="s">
        <v>456</v>
      </c>
      <c r="B5" s="108" t="s">
        <v>457</v>
      </c>
      <c r="C5" s="108" t="s">
        <v>37</v>
      </c>
      <c r="D5" s="108" t="s">
        <v>129</v>
      </c>
      <c r="E5" s="109" t="n">
        <v>3773.08</v>
      </c>
      <c r="F5" s="110" t="n">
        <v>12</v>
      </c>
      <c r="G5" s="110" t="n">
        <v>3</v>
      </c>
      <c r="H5" s="110" t="n">
        <v>7</v>
      </c>
      <c r="I5" s="68"/>
      <c r="J5" s="68"/>
    </row>
    <row r="6" customFormat="false" ht="23.25" hidden="false" customHeight="true" outlineLevel="0" collapsed="false">
      <c r="A6" s="107" t="s">
        <v>458</v>
      </c>
      <c r="B6" s="107" t="s">
        <v>459</v>
      </c>
      <c r="C6" s="107" t="s">
        <v>37</v>
      </c>
      <c r="D6" s="107" t="s">
        <v>132</v>
      </c>
      <c r="E6" s="111" t="n">
        <v>2799.99</v>
      </c>
      <c r="F6" s="112" t="n">
        <v>25</v>
      </c>
      <c r="G6" s="112" t="n">
        <v>10</v>
      </c>
      <c r="H6" s="112" t="n">
        <v>3</v>
      </c>
      <c r="I6" s="73"/>
      <c r="J6" s="73"/>
    </row>
    <row r="7" customFormat="false" ht="23.25" hidden="false" customHeight="true" outlineLevel="0" collapsed="false">
      <c r="A7" s="108" t="s">
        <v>460</v>
      </c>
      <c r="B7" s="108" t="s">
        <v>461</v>
      </c>
      <c r="C7" s="108" t="s">
        <v>32</v>
      </c>
      <c r="D7" s="108" t="s">
        <v>134</v>
      </c>
      <c r="E7" s="109" t="n">
        <v>1889.99</v>
      </c>
      <c r="F7" s="110" t="n">
        <v>8</v>
      </c>
      <c r="G7" s="110" t="n">
        <v>2</v>
      </c>
      <c r="H7" s="110" t="n">
        <v>14</v>
      </c>
      <c r="I7" s="68"/>
      <c r="J7" s="68"/>
    </row>
    <row r="8" customFormat="false" ht="23.25" hidden="false" customHeight="true" outlineLevel="0" collapsed="false">
      <c r="A8" s="107" t="s">
        <v>462</v>
      </c>
      <c r="B8" s="107" t="s">
        <v>463</v>
      </c>
      <c r="C8" s="107" t="s">
        <v>37</v>
      </c>
      <c r="D8" s="107" t="s">
        <v>129</v>
      </c>
      <c r="E8" s="111" t="n">
        <v>1299.99</v>
      </c>
      <c r="F8" s="112" t="n">
        <v>6</v>
      </c>
      <c r="G8" s="112" t="n">
        <v>2</v>
      </c>
      <c r="H8" s="112" t="n">
        <v>10</v>
      </c>
      <c r="I8" s="73"/>
      <c r="J8" s="73"/>
    </row>
    <row r="9" customFormat="false" ht="23.25" hidden="false" customHeight="true" outlineLevel="0" collapsed="false">
      <c r="A9" s="108" t="s">
        <v>464</v>
      </c>
      <c r="B9" s="108" t="s">
        <v>465</v>
      </c>
      <c r="C9" s="108" t="s">
        <v>32</v>
      </c>
      <c r="D9" s="108" t="s">
        <v>139</v>
      </c>
      <c r="E9" s="109" t="n">
        <v>1637.53</v>
      </c>
      <c r="F9" s="110" t="n">
        <v>40</v>
      </c>
      <c r="G9" s="110" t="n">
        <v>15</v>
      </c>
      <c r="H9" s="110" t="n">
        <v>2</v>
      </c>
      <c r="I9" s="68"/>
      <c r="J9" s="68"/>
    </row>
    <row r="10" customFormat="false" ht="23.25" hidden="false" customHeight="true" outlineLevel="0" collapsed="false">
      <c r="A10" s="107" t="s">
        <v>466</v>
      </c>
      <c r="B10" s="107" t="s">
        <v>467</v>
      </c>
      <c r="C10" s="107" t="s">
        <v>37</v>
      </c>
      <c r="D10" s="107" t="s">
        <v>129</v>
      </c>
      <c r="E10" s="111" t="n">
        <v>1019.99</v>
      </c>
      <c r="F10" s="112" t="n">
        <v>5</v>
      </c>
      <c r="G10" s="112" t="n">
        <v>2</v>
      </c>
      <c r="H10" s="112" t="n">
        <v>21</v>
      </c>
      <c r="I10" s="73"/>
      <c r="J10" s="73"/>
    </row>
    <row r="11" customFormat="false" ht="23.25" hidden="false" customHeight="true" outlineLevel="0" collapsed="false">
      <c r="A11" s="108" t="s">
        <v>468</v>
      </c>
      <c r="B11" s="108" t="s">
        <v>469</v>
      </c>
      <c r="C11" s="108" t="s">
        <v>37</v>
      </c>
      <c r="D11" s="108" t="s">
        <v>129</v>
      </c>
      <c r="E11" s="109" t="n">
        <v>1999.99</v>
      </c>
      <c r="F11" s="110" t="n">
        <v>200</v>
      </c>
      <c r="G11" s="110" t="n">
        <v>50</v>
      </c>
      <c r="H11" s="110" t="n">
        <v>1</v>
      </c>
      <c r="I11" s="68"/>
      <c r="J11" s="68"/>
    </row>
    <row r="12" customFormat="false" ht="23.25" hidden="false" customHeight="true" outlineLevel="0" collapsed="false">
      <c r="A12" s="107" t="s">
        <v>470</v>
      </c>
      <c r="B12" s="107" t="s">
        <v>471</v>
      </c>
      <c r="C12" s="107" t="s">
        <v>32</v>
      </c>
      <c r="D12" s="107" t="s">
        <v>134</v>
      </c>
      <c r="E12" s="111" t="n">
        <v>1270.99</v>
      </c>
      <c r="F12" s="112" t="n">
        <v>3</v>
      </c>
      <c r="G12" s="112" t="n">
        <v>1</v>
      </c>
      <c r="H12" s="112" t="n">
        <v>30</v>
      </c>
      <c r="I12" s="73"/>
      <c r="J12" s="73"/>
    </row>
    <row r="13" customFormat="false" ht="23.25" hidden="false" customHeight="true" outlineLevel="0" collapsed="false">
      <c r="A13" s="108" t="s">
        <v>472</v>
      </c>
      <c r="B13" s="108" t="s">
        <v>473</v>
      </c>
      <c r="C13" s="108" t="s">
        <v>37</v>
      </c>
      <c r="D13" s="108" t="s">
        <v>129</v>
      </c>
      <c r="E13" s="109" t="n">
        <v>699.99</v>
      </c>
      <c r="F13" s="110" t="n">
        <v>15</v>
      </c>
      <c r="G13" s="110" t="n">
        <v>5</v>
      </c>
      <c r="H13" s="110" t="n">
        <v>5</v>
      </c>
      <c r="I13" s="68"/>
      <c r="J13" s="68"/>
    </row>
    <row r="14" customFormat="false" ht="23.25" hidden="false" customHeight="true" outlineLevel="0" collapsed="false">
      <c r="A14" s="107" t="s">
        <v>474</v>
      </c>
      <c r="B14" s="107" t="s">
        <v>475</v>
      </c>
      <c r="C14" s="107" t="s">
        <v>32</v>
      </c>
      <c r="D14" s="107" t="s">
        <v>134</v>
      </c>
      <c r="E14" s="111" t="n">
        <v>1088.79</v>
      </c>
      <c r="F14" s="112" t="n">
        <v>500</v>
      </c>
      <c r="G14" s="112" t="n">
        <v>100</v>
      </c>
      <c r="H14" s="112" t="n">
        <v>1</v>
      </c>
      <c r="I14" s="73"/>
      <c r="J14" s="73"/>
    </row>
    <row r="15" customFormat="false" ht="23.25" hidden="false" customHeight="true" outlineLevel="0" collapsed="false">
      <c r="A15" s="108" t="s">
        <v>476</v>
      </c>
      <c r="B15" s="108" t="s">
        <v>477</v>
      </c>
      <c r="C15" s="108" t="s">
        <v>37</v>
      </c>
      <c r="D15" s="108" t="s">
        <v>129</v>
      </c>
      <c r="E15" s="109" t="n">
        <v>1995.99</v>
      </c>
      <c r="F15" s="110" t="n">
        <v>18</v>
      </c>
      <c r="G15" s="110" t="n">
        <v>5</v>
      </c>
      <c r="H15" s="110" t="n">
        <v>7</v>
      </c>
      <c r="I15" s="68"/>
      <c r="J15" s="68"/>
    </row>
    <row r="16" customFormat="false" ht="23.25" hidden="false" customHeight="true" outlineLevel="0" collapsed="false">
      <c r="A16" s="107" t="s">
        <v>478</v>
      </c>
      <c r="B16" s="107" t="s">
        <v>479</v>
      </c>
      <c r="C16" s="107" t="s">
        <v>37</v>
      </c>
      <c r="D16" s="107" t="s">
        <v>129</v>
      </c>
      <c r="E16" s="111" t="n">
        <v>680.9</v>
      </c>
      <c r="F16" s="112" t="n">
        <v>30</v>
      </c>
      <c r="G16" s="112" t="n">
        <v>10</v>
      </c>
      <c r="H16" s="112" t="n">
        <v>3</v>
      </c>
      <c r="I16" s="73"/>
      <c r="J16" s="73"/>
    </row>
    <row r="17" customFormat="false" ht="15" hidden="false" customHeight="true" outlineLevel="0" collapsed="false">
      <c r="A17" s="108" t="s">
        <v>480</v>
      </c>
      <c r="B17" s="108" t="s">
        <v>481</v>
      </c>
      <c r="C17" s="108" t="s">
        <v>37</v>
      </c>
      <c r="D17" s="108" t="s">
        <v>129</v>
      </c>
      <c r="E17" s="109" t="n">
        <v>1119.2</v>
      </c>
      <c r="F17" s="110" t="n">
        <v>7</v>
      </c>
      <c r="G17" s="110" t="n">
        <v>2</v>
      </c>
      <c r="H17" s="110" t="n">
        <v>14</v>
      </c>
      <c r="I17" s="68"/>
      <c r="J17" s="68"/>
    </row>
    <row r="18" customFormat="false" ht="15" hidden="false" customHeight="true" outlineLevel="0" collapsed="false">
      <c r="A18" s="107" t="s">
        <v>482</v>
      </c>
      <c r="B18" s="107" t="s">
        <v>483</v>
      </c>
      <c r="C18" s="107" t="s">
        <v>37</v>
      </c>
      <c r="D18" s="107" t="s">
        <v>132</v>
      </c>
      <c r="E18" s="111" t="n">
        <v>449.99</v>
      </c>
      <c r="F18" s="112" t="n">
        <v>50</v>
      </c>
      <c r="G18" s="112" t="n">
        <v>20</v>
      </c>
      <c r="H18" s="112" t="n">
        <v>5</v>
      </c>
      <c r="I18" s="73"/>
      <c r="J18" s="73"/>
    </row>
    <row r="19" customFormat="false" ht="23.25" hidden="false" customHeight="true" outlineLevel="0" collapsed="false">
      <c r="A19" s="108" t="s">
        <v>484</v>
      </c>
      <c r="B19" s="108" t="s">
        <v>485</v>
      </c>
      <c r="C19" s="108" t="s">
        <v>237</v>
      </c>
      <c r="D19" s="108" t="s">
        <v>361</v>
      </c>
      <c r="E19" s="109" t="n">
        <v>440.49</v>
      </c>
      <c r="F19" s="110" t="n">
        <v>100</v>
      </c>
      <c r="G19" s="110" t="n">
        <v>30</v>
      </c>
      <c r="H19" s="110" t="n">
        <v>2</v>
      </c>
      <c r="I19" s="68"/>
      <c r="J19" s="68"/>
    </row>
    <row r="21" customFormat="false" ht="30" hidden="false" customHeight="true" outlineLevel="0" collapsed="false">
      <c r="A21" s="113" t="s">
        <v>486</v>
      </c>
      <c r="B21" s="113"/>
      <c r="C21" s="113"/>
      <c r="D21" s="113"/>
      <c r="E21" s="113"/>
      <c r="F21" s="113"/>
      <c r="G21" s="113"/>
      <c r="H21" s="113"/>
      <c r="I21" s="113"/>
      <c r="J21" s="113"/>
    </row>
    <row r="23" customFormat="false" ht="21.75" hidden="false" customHeight="true" outlineLevel="0" collapsed="false">
      <c r="A23" s="78" t="s">
        <v>487</v>
      </c>
      <c r="B23" s="78"/>
      <c r="C23" s="78"/>
      <c r="D23" s="78"/>
      <c r="E23" s="78"/>
      <c r="F23" s="78"/>
      <c r="G23" s="78"/>
      <c r="H23" s="78"/>
      <c r="I23" s="78"/>
      <c r="J23" s="78"/>
    </row>
    <row r="24" customFormat="false" ht="36" hidden="false" customHeight="true" outlineLevel="0" collapsed="false">
      <c r="A24" s="79" t="s">
        <v>488</v>
      </c>
      <c r="B24" s="79" t="s">
        <v>489</v>
      </c>
      <c r="C24" s="79" t="s">
        <v>490</v>
      </c>
      <c r="D24" s="79" t="s">
        <v>491</v>
      </c>
      <c r="E24" s="79" t="s">
        <v>492</v>
      </c>
      <c r="F24" s="79" t="s">
        <v>493</v>
      </c>
      <c r="G24" s="79" t="s">
        <v>494</v>
      </c>
      <c r="H24" s="79" t="s">
        <v>495</v>
      </c>
      <c r="I24" s="79"/>
      <c r="J24" s="79"/>
    </row>
    <row r="25" customFormat="false" ht="23.25" hidden="false" customHeight="true" outlineLevel="0" collapsed="false">
      <c r="A25" s="96" t="s">
        <v>456</v>
      </c>
      <c r="B25" s="71" t="str">
        <f aca="false">IFERROR(VLOOKUP(A25,$A$5:$H$19,2,FALSE()),"❌ Not Found")</f>
        <v>Cisco TelePresence System EX90 Videoconferenc</v>
      </c>
      <c r="C25" s="71" t="str">
        <f aca="false">IFERROR(VLOOKUP(A25,$A$5:$H$19,3,FALSE()),"❌ Not Found")</f>
        <v>Technology</v>
      </c>
      <c r="D25" s="92" t="n">
        <f aca="false">IFERROR(VLOOKUP(A25,$A$5:$H$19,5,FALSE()),"❌ Not Found")</f>
        <v>3773.08</v>
      </c>
      <c r="E25" s="92" t="n">
        <f aca="false">IFERROR(VLOOKUP(A25,$A$5:$H$19,5,TRUE()),"❌ Not Found")</f>
        <v>3773.08</v>
      </c>
      <c r="F25" s="92" t="n">
        <f aca="false">IFERROR(VLOOKUP(A25,$A$5:$H$19,5,FALSE()),"ID not in DB")</f>
        <v>3773.08</v>
      </c>
      <c r="G25" s="114" t="n">
        <f aca="false">IFERROR(VLOOKUP(A25,$A$5:$H$19,6,FALSE()),"—")</f>
        <v>12</v>
      </c>
      <c r="H25" s="71" t="n">
        <f aca="false">IFERROR(VLOOKUP(A25,$A$5:$H$19,8,FALSE()),"—")</f>
        <v>7</v>
      </c>
      <c r="I25" s="68"/>
      <c r="J25" s="68"/>
    </row>
    <row r="26" customFormat="false" ht="23.25" hidden="false" customHeight="true" outlineLevel="0" collapsed="false">
      <c r="A26" s="95" t="s">
        <v>460</v>
      </c>
      <c r="B26" s="76" t="str">
        <f aca="false">IFERROR(VLOOKUP(A26,$A$5:$H$19,2,FALSE()),"❌ Not Found")</f>
        <v>Ibico EPK-21 Electric Binding System</v>
      </c>
      <c r="C26" s="76" t="str">
        <f aca="false">IFERROR(VLOOKUP(A26,$A$5:$H$19,3,FALSE()),"❌ Not Found")</f>
        <v>Office Supplies</v>
      </c>
      <c r="D26" s="91" t="n">
        <f aca="false">IFERROR(VLOOKUP(A26,$A$5:$H$19,5,FALSE()),"❌ Not Found")</f>
        <v>1889.99</v>
      </c>
      <c r="E26" s="91" t="str">
        <f aca="false">IFERROR(VLOOKUP(A26,$A$5:$H$19,5,TRUE()),"❌ Not Found")</f>
        <v>❌ Not Found</v>
      </c>
      <c r="F26" s="91" t="n">
        <f aca="false">IFERROR(VLOOKUP(A26,$A$5:$H$19,5,FALSE()),"ID not in DB")</f>
        <v>1889.99</v>
      </c>
      <c r="G26" s="115" t="n">
        <f aca="false">IFERROR(VLOOKUP(A26,$A$5:$H$19,6,FALSE()),"—")</f>
        <v>8</v>
      </c>
      <c r="H26" s="76" t="n">
        <f aca="false">IFERROR(VLOOKUP(A26,$A$5:$H$19,8,FALSE()),"—")</f>
        <v>14</v>
      </c>
      <c r="I26" s="73"/>
      <c r="J26" s="73"/>
    </row>
    <row r="27" customFormat="false" ht="23.25" hidden="false" customHeight="true" outlineLevel="0" collapsed="false">
      <c r="A27" s="96" t="s">
        <v>464</v>
      </c>
      <c r="B27" s="71" t="str">
        <f aca="false">IFERROR(VLOOKUP(A27,$A$5:$H$19,2,FALSE()),"❌ Not Found")</f>
        <v>High Speed Automatic Electric Letter Opener</v>
      </c>
      <c r="C27" s="71" t="str">
        <f aca="false">IFERROR(VLOOKUP(A27,$A$5:$H$19,3,FALSE()),"❌ Not Found")</f>
        <v>Office Supplies</v>
      </c>
      <c r="D27" s="92" t="n">
        <f aca="false">IFERROR(VLOOKUP(A27,$A$5:$H$19,5,FALSE()),"❌ Not Found")</f>
        <v>1637.53</v>
      </c>
      <c r="E27" s="92" t="str">
        <f aca="false">IFERROR(VLOOKUP(A27,$A$5:$H$19,5,TRUE()),"❌ Not Found")</f>
        <v>❌ Not Found</v>
      </c>
      <c r="F27" s="92" t="n">
        <f aca="false">IFERROR(VLOOKUP(A27,$A$5:$H$19,5,FALSE()),"ID not in DB")</f>
        <v>1637.53</v>
      </c>
      <c r="G27" s="114" t="n">
        <f aca="false">IFERROR(VLOOKUP(A27,$A$5:$H$19,6,FALSE()),"—")</f>
        <v>40</v>
      </c>
      <c r="H27" s="71" t="n">
        <f aca="false">IFERROR(VLOOKUP(A27,$A$5:$H$19,8,FALSE()),"—")</f>
        <v>2</v>
      </c>
      <c r="I27" s="68"/>
      <c r="J27" s="68"/>
    </row>
    <row r="28" customFormat="false" ht="23.25" hidden="false" customHeight="true" outlineLevel="0" collapsed="false">
      <c r="A28" s="95" t="s">
        <v>468</v>
      </c>
      <c r="B28" s="76" t="str">
        <f aca="false">IFERROR(VLOOKUP(A28,$A$5:$H$19,2,FALSE()),"❌ Not Found")</f>
        <v>Cubify CubeX 3D Printer Triple Head Print</v>
      </c>
      <c r="C28" s="76" t="str">
        <f aca="false">IFERROR(VLOOKUP(A28,$A$5:$H$19,3,FALSE()),"❌ Not Found")</f>
        <v>Technology</v>
      </c>
      <c r="D28" s="91" t="n">
        <f aca="false">IFERROR(VLOOKUP(A28,$A$5:$H$19,5,FALSE()),"❌ Not Found")</f>
        <v>1999.99</v>
      </c>
      <c r="E28" s="91" t="n">
        <f aca="false">IFERROR(VLOOKUP(A28,$A$5:$H$19,5,TRUE()),"❌ Not Found")</f>
        <v>1999.99</v>
      </c>
      <c r="F28" s="91" t="n">
        <f aca="false">IFERROR(VLOOKUP(A28,$A$5:$H$19,5,FALSE()),"ID not in DB")</f>
        <v>1999.99</v>
      </c>
      <c r="G28" s="115" t="n">
        <f aca="false">IFERROR(VLOOKUP(A28,$A$5:$H$19,6,FALSE()),"—")</f>
        <v>200</v>
      </c>
      <c r="H28" s="76" t="n">
        <f aca="false">IFERROR(VLOOKUP(A28,$A$5:$H$19,8,FALSE()),"—")</f>
        <v>1</v>
      </c>
      <c r="I28" s="73"/>
      <c r="J28" s="73"/>
    </row>
    <row r="29" customFormat="false" ht="23.25" hidden="false" customHeight="true" outlineLevel="0" collapsed="false">
      <c r="A29" s="96" t="s">
        <v>472</v>
      </c>
      <c r="B29" s="71" t="str">
        <f aca="false">IFERROR(VLOOKUP(A29,$A$5:$H$19,2,FALSE()),"❌ Not Found")</f>
        <v>Ativa V4110MDD Micro-Cut Shredder</v>
      </c>
      <c r="C29" s="71" t="str">
        <f aca="false">IFERROR(VLOOKUP(A29,$A$5:$H$19,3,FALSE()),"❌ Not Found")</f>
        <v>Technology</v>
      </c>
      <c r="D29" s="92" t="n">
        <f aca="false">IFERROR(VLOOKUP(A29,$A$5:$H$19,5,FALSE()),"❌ Not Found")</f>
        <v>699.99</v>
      </c>
      <c r="E29" s="92" t="n">
        <f aca="false">IFERROR(VLOOKUP(A29,$A$5:$H$19,5,TRUE()),"❌ Not Found")</f>
        <v>1019.99</v>
      </c>
      <c r="F29" s="92" t="n">
        <f aca="false">IFERROR(VLOOKUP(A29,$A$5:$H$19,5,FALSE()),"ID not in DB")</f>
        <v>699.99</v>
      </c>
      <c r="G29" s="114" t="n">
        <f aca="false">IFERROR(VLOOKUP(A29,$A$5:$H$19,6,FALSE()),"—")</f>
        <v>15</v>
      </c>
      <c r="H29" s="71" t="n">
        <f aca="false">IFERROR(VLOOKUP(A29,$A$5:$H$19,8,FALSE()),"—")</f>
        <v>5</v>
      </c>
      <c r="I29" s="68"/>
      <c r="J29" s="68"/>
    </row>
    <row r="30" customFormat="false" ht="15" hidden="false" customHeight="true" outlineLevel="0" collapsed="false">
      <c r="A30" s="95" t="s">
        <v>496</v>
      </c>
      <c r="B30" s="76" t="str">
        <f aca="false">IFERROR(VLOOKUP(A30,$A$5:$H$19,2,FALSE()),"❌ Not Found")</f>
        <v>❌ Not Found</v>
      </c>
      <c r="C30" s="76" t="str">
        <f aca="false">IFERROR(VLOOKUP(A30,$A$5:$H$19,3,FALSE()),"❌ Not Found")</f>
        <v>❌ Not Found</v>
      </c>
      <c r="D30" s="91" t="str">
        <f aca="false">IFERROR(VLOOKUP(A30,$A$5:$H$19,5,FALSE()),"❌ Not Found")</f>
        <v>❌ Not Found</v>
      </c>
      <c r="E30" s="91" t="str">
        <f aca="false">IFERROR(VLOOKUP(A30,$A$5:$H$19,5,TRUE()),"❌ Not Found")</f>
        <v>❌ Not Found</v>
      </c>
      <c r="F30" s="91" t="str">
        <f aca="false">IFERROR(VLOOKUP(A30,$A$5:$H$19,5,FALSE()),"ID not in DB")</f>
        <v>ID not in DB</v>
      </c>
      <c r="G30" s="115" t="str">
        <f aca="false">IFERROR(VLOOKUP(A30,$A$5:$H$19,6,FALSE()),"—")</f>
        <v>—</v>
      </c>
      <c r="H30" s="76" t="str">
        <f aca="false">IFERROR(VLOOKUP(A30,$A$5:$H$19,8,FALSE()),"—")</f>
        <v>—</v>
      </c>
      <c r="I30" s="73"/>
      <c r="J30" s="73"/>
    </row>
    <row r="31" customFormat="false" ht="23.25" hidden="false" customHeight="true" outlineLevel="0" collapsed="false">
      <c r="A31" s="96" t="s">
        <v>476</v>
      </c>
      <c r="B31" s="71" t="str">
        <f aca="false">IFERROR(VLOOKUP(A31,$A$5:$H$19,2,FALSE()),"❌ Not Found")</f>
        <v>Canon imageCLASS MF7460 Monochrome Digital La</v>
      </c>
      <c r="C31" s="71" t="str">
        <f aca="false">IFERROR(VLOOKUP(A31,$A$5:$H$19,3,FALSE()),"❌ Not Found")</f>
        <v>Technology</v>
      </c>
      <c r="D31" s="92" t="n">
        <f aca="false">IFERROR(VLOOKUP(A31,$A$5:$H$19,5,FALSE()),"❌ Not Found")</f>
        <v>1995.99</v>
      </c>
      <c r="E31" s="92" t="n">
        <f aca="false">IFERROR(VLOOKUP(A31,$A$5:$H$19,5,TRUE()),"❌ Not Found")</f>
        <v>1019.99</v>
      </c>
      <c r="F31" s="92" t="n">
        <f aca="false">IFERROR(VLOOKUP(A31,$A$5:$H$19,5,FALSE()),"ID not in DB")</f>
        <v>1995.99</v>
      </c>
      <c r="G31" s="114" t="n">
        <f aca="false">IFERROR(VLOOKUP(A31,$A$5:$H$19,6,FALSE()),"—")</f>
        <v>18</v>
      </c>
      <c r="H31" s="71" t="n">
        <f aca="false">IFERROR(VLOOKUP(A31,$A$5:$H$19,8,FALSE()),"—")</f>
        <v>7</v>
      </c>
      <c r="I31" s="68"/>
      <c r="J31" s="68"/>
    </row>
    <row r="32" customFormat="false" ht="15" hidden="false" customHeight="true" outlineLevel="0" collapsed="false">
      <c r="A32" s="95" t="s">
        <v>480</v>
      </c>
      <c r="B32" s="76" t="str">
        <f aca="false">IFERROR(VLOOKUP(A32,$A$5:$H$19,2,FALSE()),"❌ Not Found")</f>
        <v>Okidata MB760 Printer</v>
      </c>
      <c r="C32" s="76" t="str">
        <f aca="false">IFERROR(VLOOKUP(A32,$A$5:$H$19,3,FALSE()),"❌ Not Found")</f>
        <v>Technology</v>
      </c>
      <c r="D32" s="91" t="n">
        <f aca="false">IFERROR(VLOOKUP(A32,$A$5:$H$19,5,FALSE()),"❌ Not Found")</f>
        <v>1119.2</v>
      </c>
      <c r="E32" s="91" t="n">
        <f aca="false">IFERROR(VLOOKUP(A32,$A$5:$H$19,5,TRUE()),"❌ Not Found")</f>
        <v>1889.99</v>
      </c>
      <c r="F32" s="91" t="n">
        <f aca="false">IFERROR(VLOOKUP(A32,$A$5:$H$19,5,FALSE()),"ID not in DB")</f>
        <v>1119.2</v>
      </c>
      <c r="G32" s="115" t="n">
        <f aca="false">IFERROR(VLOOKUP(A32,$A$5:$H$19,6,FALSE()),"—")</f>
        <v>7</v>
      </c>
      <c r="H32" s="76" t="n">
        <f aca="false">IFERROR(VLOOKUP(A32,$A$5:$H$19,8,FALSE()),"—")</f>
        <v>14</v>
      </c>
      <c r="I32" s="73"/>
      <c r="J32" s="73"/>
    </row>
    <row r="33" customFormat="false" ht="15" hidden="false" customHeight="true" outlineLevel="0" collapsed="false">
      <c r="A33" s="96" t="s">
        <v>497</v>
      </c>
      <c r="B33" s="71" t="str">
        <f aca="false">IFERROR(VLOOKUP(A33,$A$5:$H$19,2,FALSE()),"❌ Not Found")</f>
        <v>❌ Not Found</v>
      </c>
      <c r="C33" s="71" t="str">
        <f aca="false">IFERROR(VLOOKUP(A33,$A$5:$H$19,3,FALSE()),"❌ Not Found")</f>
        <v>❌ Not Found</v>
      </c>
      <c r="D33" s="92" t="str">
        <f aca="false">IFERROR(VLOOKUP(A33,$A$5:$H$19,5,FALSE()),"❌ Not Found")</f>
        <v>❌ Not Found</v>
      </c>
      <c r="E33" s="92" t="str">
        <f aca="false">IFERROR(VLOOKUP(A33,$A$5:$H$19,5,TRUE()),"❌ Not Found")</f>
        <v>❌ Not Found</v>
      </c>
      <c r="F33" s="92" t="str">
        <f aca="false">IFERROR(VLOOKUP(A33,$A$5:$H$19,5,FALSE()),"ID not in DB")</f>
        <v>ID not in DB</v>
      </c>
      <c r="G33" s="114" t="str">
        <f aca="false">IFERROR(VLOOKUP(A33,$A$5:$H$19,6,FALSE()),"—")</f>
        <v>—</v>
      </c>
      <c r="H33" s="71" t="str">
        <f aca="false">IFERROR(VLOOKUP(A33,$A$5:$H$19,8,FALSE()),"—")</f>
        <v>—</v>
      </c>
      <c r="I33" s="68"/>
      <c r="J33" s="68"/>
    </row>
    <row r="34" customFormat="false" ht="23.25" hidden="false" customHeight="true" outlineLevel="0" collapsed="false">
      <c r="A34" s="95" t="s">
        <v>484</v>
      </c>
      <c r="B34" s="76" t="str">
        <f aca="false">IFERROR(VLOOKUP(A34,$A$5:$H$19,2,FALSE()),"❌ Not Found")</f>
        <v>Riverside Palais Royal Lawyers Bookcase, Roya</v>
      </c>
      <c r="C34" s="76" t="str">
        <f aca="false">IFERROR(VLOOKUP(A34,$A$5:$H$19,3,FALSE()),"❌ Not Found")</f>
        <v>Furniture</v>
      </c>
      <c r="D34" s="91" t="n">
        <f aca="false">IFERROR(VLOOKUP(A34,$A$5:$H$19,5,FALSE()),"❌ Not Found")</f>
        <v>440.49</v>
      </c>
      <c r="E34" s="91" t="str">
        <f aca="false">IFERROR(VLOOKUP(A34,$A$5:$H$19,5,TRUE()),"❌ Not Found")</f>
        <v>❌ Not Found</v>
      </c>
      <c r="F34" s="91" t="n">
        <f aca="false">IFERROR(VLOOKUP(A34,$A$5:$H$19,5,FALSE()),"ID not in DB")</f>
        <v>440.49</v>
      </c>
      <c r="G34" s="115" t="n">
        <f aca="false">IFERROR(VLOOKUP(A34,$A$5:$H$19,6,FALSE()),"—")</f>
        <v>100</v>
      </c>
      <c r="H34" s="76" t="n">
        <f aca="false">IFERROR(VLOOKUP(A34,$A$5:$H$19,8,FALSE()),"—")</f>
        <v>2</v>
      </c>
      <c r="I34" s="73"/>
      <c r="J34" s="73"/>
    </row>
    <row r="36" customFormat="false" ht="21.75" hidden="false" customHeight="true" outlineLevel="0" collapsed="false">
      <c r="A36" s="87" t="s">
        <v>498</v>
      </c>
      <c r="B36" s="87"/>
      <c r="C36" s="87"/>
      <c r="D36" s="87"/>
      <c r="E36" s="87"/>
      <c r="F36" s="87"/>
      <c r="G36" s="87"/>
      <c r="H36" s="87"/>
      <c r="I36" s="87"/>
      <c r="J36" s="87"/>
    </row>
    <row r="37" customFormat="false" ht="23.25" hidden="false" customHeight="true" outlineLevel="0" collapsed="false">
      <c r="A37" s="88" t="s">
        <v>451</v>
      </c>
      <c r="B37" s="88" t="s">
        <v>456</v>
      </c>
      <c r="C37" s="88" t="s">
        <v>458</v>
      </c>
      <c r="D37" s="88" t="s">
        <v>460</v>
      </c>
      <c r="E37" s="88" t="s">
        <v>462</v>
      </c>
      <c r="F37" s="88" t="s">
        <v>464</v>
      </c>
    </row>
    <row r="38" customFormat="false" ht="23.25" hidden="false" customHeight="true" outlineLevel="0" collapsed="false">
      <c r="A38" s="116" t="s">
        <v>28</v>
      </c>
      <c r="B38" s="116" t="s">
        <v>499</v>
      </c>
      <c r="C38" s="116" t="s">
        <v>500</v>
      </c>
      <c r="D38" s="116" t="s">
        <v>501</v>
      </c>
      <c r="E38" s="116" t="s">
        <v>502</v>
      </c>
      <c r="F38" s="116" t="s">
        <v>503</v>
      </c>
    </row>
    <row r="39" customFormat="false" ht="15" hidden="false" customHeight="true" outlineLevel="0" collapsed="false">
      <c r="A39" s="117" t="s">
        <v>504</v>
      </c>
      <c r="B39" s="118" t="n">
        <v>3773.08</v>
      </c>
      <c r="C39" s="118" t="n">
        <v>2799.99</v>
      </c>
      <c r="D39" s="118" t="n">
        <v>1889.99</v>
      </c>
      <c r="E39" s="118" t="n">
        <v>1299.99</v>
      </c>
      <c r="F39" s="118" t="n">
        <v>1637.53</v>
      </c>
    </row>
    <row r="41" customFormat="false" ht="21.75" hidden="false" customHeight="true" outlineLevel="0" collapsed="false">
      <c r="A41" s="87" t="s">
        <v>505</v>
      </c>
      <c r="B41" s="87"/>
      <c r="C41" s="87"/>
      <c r="D41" s="87"/>
      <c r="E41" s="87"/>
      <c r="F41" s="87"/>
      <c r="G41" s="87"/>
      <c r="H41" s="87"/>
      <c r="I41" s="87"/>
      <c r="J41" s="87"/>
    </row>
    <row r="42" customFormat="false" ht="36" hidden="false" customHeight="true" outlineLevel="0" collapsed="false">
      <c r="A42" s="88" t="s">
        <v>488</v>
      </c>
      <c r="B42" s="88" t="s">
        <v>506</v>
      </c>
      <c r="C42" s="88" t="s">
        <v>507</v>
      </c>
      <c r="D42" s="88" t="s">
        <v>83</v>
      </c>
      <c r="E42" s="88"/>
      <c r="F42" s="88"/>
      <c r="G42" s="88"/>
      <c r="H42" s="88"/>
      <c r="I42" s="88"/>
      <c r="J42" s="88"/>
    </row>
    <row r="43" customFormat="false" ht="15" hidden="false" customHeight="true" outlineLevel="0" collapsed="false">
      <c r="A43" s="96" t="s">
        <v>456</v>
      </c>
      <c r="B43" s="71" t="str">
        <f aca="false">IFERROR(HLOOKUP(A43,$A$37:$F$39,2,FALSE()),"Not Found")</f>
        <v>Cisco TelePresence Sys</v>
      </c>
      <c r="C43" s="92" t="n">
        <f aca="false">IFERROR(HLOOKUP(A43,$A$37:$F$39,3,FALSE()),"Not Found")</f>
        <v>3773.08</v>
      </c>
      <c r="D43" s="68" t="s">
        <v>508</v>
      </c>
      <c r="E43" s="68"/>
      <c r="F43" s="68"/>
      <c r="G43" s="68"/>
      <c r="H43" s="68"/>
      <c r="I43" s="68"/>
      <c r="J43" s="68"/>
    </row>
    <row r="44" customFormat="false" ht="15" hidden="false" customHeight="true" outlineLevel="0" collapsed="false">
      <c r="A44" s="95" t="s">
        <v>458</v>
      </c>
      <c r="B44" s="76" t="str">
        <f aca="false">IFERROR(HLOOKUP(A44,$A$37:$F$39,2,FALSE()),"Not Found")</f>
        <v>Canon imageCLASS 2200 </v>
      </c>
      <c r="C44" s="91" t="n">
        <f aca="false">IFERROR(HLOOKUP(A44,$A$37:$F$39,3,FALSE()),"Not Found")</f>
        <v>2799.99</v>
      </c>
      <c r="D44" s="73" t="s">
        <v>508</v>
      </c>
      <c r="E44" s="73"/>
      <c r="F44" s="73"/>
      <c r="G44" s="73"/>
      <c r="H44" s="73"/>
      <c r="I44" s="73"/>
      <c r="J44" s="73"/>
    </row>
    <row r="45" customFormat="false" ht="15" hidden="false" customHeight="true" outlineLevel="0" collapsed="false">
      <c r="A45" s="96" t="s">
        <v>460</v>
      </c>
      <c r="B45" s="71" t="str">
        <f aca="false">IFERROR(HLOOKUP(A45,$A$37:$F$39,2,FALSE()),"Not Found")</f>
        <v>Ibico EPK-21 Electric </v>
      </c>
      <c r="C45" s="92" t="n">
        <f aca="false">IFERROR(HLOOKUP(A45,$A$37:$F$39,3,FALSE()),"Not Found")</f>
        <v>1889.99</v>
      </c>
      <c r="D45" s="68" t="s">
        <v>508</v>
      </c>
      <c r="E45" s="68"/>
      <c r="F45" s="68"/>
      <c r="G45" s="68"/>
      <c r="H45" s="68"/>
      <c r="I45" s="68"/>
      <c r="J45" s="68"/>
    </row>
    <row r="47" customFormat="false" ht="21.75" hidden="false" customHeight="true" outlineLevel="0" collapsed="false">
      <c r="A47" s="119" t="s">
        <v>509</v>
      </c>
      <c r="B47" s="119"/>
      <c r="C47" s="119"/>
      <c r="D47" s="119"/>
      <c r="E47" s="119"/>
      <c r="F47" s="119"/>
      <c r="G47" s="119"/>
      <c r="H47" s="119"/>
      <c r="I47" s="119"/>
      <c r="J47" s="119"/>
    </row>
    <row r="48" customFormat="false" ht="19.5" hidden="false" customHeight="true" outlineLevel="0" collapsed="false">
      <c r="A48" s="67" t="s">
        <v>510</v>
      </c>
      <c r="B48" s="67" t="s">
        <v>511</v>
      </c>
      <c r="C48" s="67" t="s">
        <v>512</v>
      </c>
      <c r="D48" s="67" t="s">
        <v>513</v>
      </c>
      <c r="E48" s="67" t="s">
        <v>514</v>
      </c>
      <c r="F48" s="67"/>
      <c r="G48" s="67"/>
      <c r="H48" s="67"/>
      <c r="I48" s="67"/>
      <c r="J48" s="67"/>
    </row>
    <row r="49" customFormat="false" ht="24" hidden="false" customHeight="true" outlineLevel="0" collapsed="false">
      <c r="A49" s="82" t="s">
        <v>515</v>
      </c>
      <c r="B49" s="68" t="s">
        <v>516</v>
      </c>
      <c r="C49" s="68" t="s">
        <v>517</v>
      </c>
      <c r="D49" s="71" t="str">
        <f aca="false">IFERROR(INDEX($A$5:$A$19,MATCH(A49,$B$5:$B$19,0)),"Not Found")</f>
        <v>Not Found</v>
      </c>
      <c r="E49" s="120" t="s">
        <v>518</v>
      </c>
      <c r="F49" s="120"/>
      <c r="G49" s="120"/>
      <c r="H49" s="120"/>
      <c r="I49" s="120"/>
      <c r="J49" s="120"/>
    </row>
    <row r="50" customFormat="false" ht="24" hidden="false" customHeight="true" outlineLevel="0" collapsed="false">
      <c r="A50" s="80" t="s">
        <v>37</v>
      </c>
      <c r="B50" s="73" t="s">
        <v>519</v>
      </c>
      <c r="C50" s="73" t="s">
        <v>516</v>
      </c>
      <c r="D50" s="76" t="str">
        <f aca="false">IFERROR(INDEX($B$5:$B$19,MATCH(A50,$C$5:$C$19,0)),"Not Found")</f>
        <v>Cisco TelePresence System EX90 Videoconferenc</v>
      </c>
      <c r="E50" s="121" t="s">
        <v>520</v>
      </c>
      <c r="F50" s="121"/>
      <c r="G50" s="121"/>
      <c r="H50" s="121"/>
      <c r="I50" s="121"/>
      <c r="J50" s="121"/>
    </row>
    <row r="51" customFormat="false" ht="24" hidden="false" customHeight="true" outlineLevel="0" collapsed="false">
      <c r="A51" s="82" t="s">
        <v>134</v>
      </c>
      <c r="B51" s="68" t="s">
        <v>521</v>
      </c>
      <c r="C51" s="68" t="s">
        <v>522</v>
      </c>
      <c r="D51" s="92" t="n">
        <f aca="false">IFERROR(INDEX($E$5:$E$19,MATCH(A51,$D$5:$D$19,0)),"Not Found")</f>
        <v>1889.99</v>
      </c>
      <c r="E51" s="120" t="s">
        <v>523</v>
      </c>
      <c r="F51" s="120"/>
      <c r="G51" s="120"/>
      <c r="H51" s="120"/>
      <c r="I51" s="120"/>
      <c r="J51" s="120"/>
    </row>
    <row r="53" customFormat="false" ht="21.75" hidden="false" customHeight="true" outlineLevel="0" collapsed="false">
      <c r="A53" s="93" t="s">
        <v>524</v>
      </c>
      <c r="B53" s="93"/>
      <c r="C53" s="93"/>
      <c r="D53" s="93"/>
      <c r="E53" s="93"/>
      <c r="F53" s="93"/>
      <c r="G53" s="93"/>
      <c r="H53" s="93"/>
      <c r="I53" s="93"/>
      <c r="J53" s="93"/>
    </row>
    <row r="54" customFormat="false" ht="19.5" hidden="false" customHeight="true" outlineLevel="0" collapsed="false">
      <c r="A54" s="94" t="s">
        <v>341</v>
      </c>
      <c r="B54" s="94" t="s">
        <v>525</v>
      </c>
      <c r="C54" s="94"/>
      <c r="D54" s="94"/>
      <c r="E54" s="94" t="s">
        <v>526</v>
      </c>
      <c r="F54" s="94"/>
      <c r="G54" s="94"/>
      <c r="H54" s="94" t="s">
        <v>527</v>
      </c>
      <c r="I54" s="94"/>
      <c r="J54" s="94"/>
    </row>
    <row r="55" customFormat="false" ht="21.75" hidden="false" customHeight="true" outlineLevel="0" collapsed="false">
      <c r="A55" s="82" t="s">
        <v>528</v>
      </c>
      <c r="B55" s="68" t="s">
        <v>529</v>
      </c>
      <c r="C55" s="68"/>
      <c r="D55" s="68"/>
      <c r="E55" s="68" t="s">
        <v>530</v>
      </c>
      <c r="F55" s="68"/>
      <c r="G55" s="68"/>
      <c r="H55" s="68" t="s">
        <v>531</v>
      </c>
      <c r="I55" s="68"/>
      <c r="J55" s="68"/>
    </row>
    <row r="56" customFormat="false" ht="21.75" hidden="false" customHeight="true" outlineLevel="0" collapsed="false">
      <c r="A56" s="80" t="s">
        <v>532</v>
      </c>
      <c r="B56" s="73" t="s">
        <v>533</v>
      </c>
      <c r="C56" s="73"/>
      <c r="D56" s="73"/>
      <c r="E56" s="73" t="s">
        <v>534</v>
      </c>
      <c r="F56" s="73"/>
      <c r="G56" s="73"/>
      <c r="H56" s="73" t="s">
        <v>535</v>
      </c>
      <c r="I56" s="73"/>
      <c r="J56" s="73"/>
    </row>
    <row r="57" customFormat="false" ht="21.75" hidden="false" customHeight="true" outlineLevel="0" collapsed="false">
      <c r="A57" s="82" t="s">
        <v>536</v>
      </c>
      <c r="B57" s="68" t="s">
        <v>537</v>
      </c>
      <c r="C57" s="68"/>
      <c r="D57" s="68"/>
      <c r="E57" s="68" t="s">
        <v>538</v>
      </c>
      <c r="F57" s="68"/>
      <c r="G57" s="68"/>
      <c r="H57" s="68" t="s">
        <v>539</v>
      </c>
      <c r="I57" s="68"/>
      <c r="J57" s="68"/>
    </row>
    <row r="58" customFormat="false" ht="21.75" hidden="false" customHeight="true" outlineLevel="0" collapsed="false">
      <c r="A58" s="80" t="s">
        <v>540</v>
      </c>
      <c r="B58" s="73" t="s">
        <v>541</v>
      </c>
      <c r="C58" s="73"/>
      <c r="D58" s="73"/>
      <c r="E58" s="73" t="s">
        <v>541</v>
      </c>
      <c r="F58" s="73"/>
      <c r="G58" s="73"/>
      <c r="H58" s="73" t="s">
        <v>542</v>
      </c>
      <c r="I58" s="73"/>
      <c r="J58" s="73"/>
    </row>
    <row r="59" customFormat="false" ht="21.75" hidden="false" customHeight="true" outlineLevel="0" collapsed="false">
      <c r="A59" s="82" t="s">
        <v>543</v>
      </c>
      <c r="B59" s="68" t="s">
        <v>544</v>
      </c>
      <c r="C59" s="68"/>
      <c r="D59" s="68"/>
      <c r="E59" s="68" t="s">
        <v>544</v>
      </c>
      <c r="F59" s="68"/>
      <c r="G59" s="68"/>
      <c r="H59" s="68" t="s">
        <v>545</v>
      </c>
      <c r="I59" s="68"/>
      <c r="J59" s="68"/>
    </row>
    <row r="60" customFormat="false" ht="21.75" hidden="false" customHeight="true" outlineLevel="0" collapsed="false">
      <c r="A60" s="80" t="s">
        <v>546</v>
      </c>
      <c r="B60" s="73" t="s">
        <v>547</v>
      </c>
      <c r="C60" s="73"/>
      <c r="D60" s="73"/>
      <c r="E60" s="73" t="s">
        <v>548</v>
      </c>
      <c r="F60" s="73"/>
      <c r="G60" s="73"/>
      <c r="H60" s="73" t="s">
        <v>549</v>
      </c>
      <c r="I60" s="73"/>
      <c r="J60" s="73"/>
    </row>
  </sheetData>
  <mergeCells count="37">
    <mergeCell ref="A1:J1"/>
    <mergeCell ref="A3:J3"/>
    <mergeCell ref="A21:J21"/>
    <mergeCell ref="A23:J23"/>
    <mergeCell ref="A36:J36"/>
    <mergeCell ref="A41:J41"/>
    <mergeCell ref="D42:J42"/>
    <mergeCell ref="D43:J43"/>
    <mergeCell ref="D44:J44"/>
    <mergeCell ref="D45:J45"/>
    <mergeCell ref="A47:J47"/>
    <mergeCell ref="E48:J48"/>
    <mergeCell ref="E49:J49"/>
    <mergeCell ref="E50:J50"/>
    <mergeCell ref="E51:J51"/>
    <mergeCell ref="A53:J53"/>
    <mergeCell ref="B54:D54"/>
    <mergeCell ref="E54:G54"/>
    <mergeCell ref="H54:J54"/>
    <mergeCell ref="B55:D55"/>
    <mergeCell ref="E55:G55"/>
    <mergeCell ref="H55:J55"/>
    <mergeCell ref="B56:D56"/>
    <mergeCell ref="E56:G56"/>
    <mergeCell ref="H56:J56"/>
    <mergeCell ref="B57:D57"/>
    <mergeCell ref="E57:G57"/>
    <mergeCell ref="H57:J57"/>
    <mergeCell ref="B58:D58"/>
    <mergeCell ref="E58:G58"/>
    <mergeCell ref="H58:J58"/>
    <mergeCell ref="B59:D59"/>
    <mergeCell ref="E59:G59"/>
    <mergeCell ref="H59:J59"/>
    <mergeCell ref="B60:D60"/>
    <mergeCell ref="E60:G60"/>
    <mergeCell ref="H60:J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8" min="7" style="1" width="10"/>
    <col collapsed="false" customWidth="true" hidden="false" outlineLevel="0" max="10" min="9" style="1" width="12"/>
    <col collapsed="false" customWidth="true" hidden="false" outlineLevel="0" max="11" min="11" style="1" width="28"/>
  </cols>
  <sheetData>
    <row r="1" customFormat="false" ht="30" hidden="false" customHeight="true" outlineLevel="0" collapsed="false">
      <c r="A1" s="65" t="s">
        <v>550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3" customFormat="false" ht="21.75" hidden="false" customHeight="true" outlineLevel="0" collapsed="false">
      <c r="A3" s="66" t="s">
        <v>551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customFormat="false" ht="27.75" hidden="false" customHeight="true" outlineLevel="0" collapsed="false">
      <c r="A4" s="67" t="s">
        <v>163</v>
      </c>
      <c r="B4" s="67" t="s">
        <v>357</v>
      </c>
      <c r="C4" s="67" t="s">
        <v>57</v>
      </c>
      <c r="D4" s="67" t="s">
        <v>29</v>
      </c>
      <c r="E4" s="67" t="s">
        <v>126</v>
      </c>
      <c r="F4" s="67" t="s">
        <v>3</v>
      </c>
      <c r="G4" s="67" t="s">
        <v>359</v>
      </c>
      <c r="H4" s="67" t="s">
        <v>60</v>
      </c>
      <c r="I4" s="67" t="s">
        <v>58</v>
      </c>
      <c r="J4" s="67" t="s">
        <v>552</v>
      </c>
      <c r="K4" s="67" t="s">
        <v>358</v>
      </c>
    </row>
    <row r="5" customFormat="false" ht="15" hidden="false" customHeight="true" outlineLevel="0" collapsed="false">
      <c r="A5" s="108" t="s">
        <v>171</v>
      </c>
      <c r="B5" s="108" t="s">
        <v>236</v>
      </c>
      <c r="C5" s="108" t="s">
        <v>64</v>
      </c>
      <c r="D5" s="108" t="s">
        <v>237</v>
      </c>
      <c r="E5" s="108" t="s">
        <v>361</v>
      </c>
      <c r="F5" s="109" t="n">
        <v>261.96</v>
      </c>
      <c r="G5" s="110" t="n">
        <v>2</v>
      </c>
      <c r="H5" s="122" t="n">
        <v>0</v>
      </c>
      <c r="I5" s="109" t="n">
        <v>41.91</v>
      </c>
      <c r="J5" s="108" t="s">
        <v>553</v>
      </c>
      <c r="K5" s="108" t="s">
        <v>360</v>
      </c>
    </row>
    <row r="6" customFormat="false" ht="15" hidden="false" customHeight="true" outlineLevel="0" collapsed="false">
      <c r="A6" s="107" t="s">
        <v>171</v>
      </c>
      <c r="B6" s="107" t="s">
        <v>236</v>
      </c>
      <c r="C6" s="107" t="s">
        <v>64</v>
      </c>
      <c r="D6" s="107" t="s">
        <v>237</v>
      </c>
      <c r="E6" s="107" t="s">
        <v>362</v>
      </c>
      <c r="F6" s="111" t="n">
        <v>731.94</v>
      </c>
      <c r="G6" s="112" t="n">
        <v>3</v>
      </c>
      <c r="H6" s="123" t="n">
        <v>0</v>
      </c>
      <c r="I6" s="111" t="n">
        <v>219.58</v>
      </c>
      <c r="J6" s="107" t="s">
        <v>553</v>
      </c>
      <c r="K6" s="107" t="s">
        <v>360</v>
      </c>
    </row>
    <row r="7" customFormat="false" ht="15" hidden="false" customHeight="true" outlineLevel="0" collapsed="false">
      <c r="A7" s="108" t="s">
        <v>173</v>
      </c>
      <c r="B7" s="108" t="s">
        <v>238</v>
      </c>
      <c r="C7" s="108" t="s">
        <v>68</v>
      </c>
      <c r="D7" s="108" t="s">
        <v>32</v>
      </c>
      <c r="E7" s="108" t="s">
        <v>365</v>
      </c>
      <c r="F7" s="109" t="n">
        <v>14.62</v>
      </c>
      <c r="G7" s="110" t="n">
        <v>2</v>
      </c>
      <c r="H7" s="122" t="n">
        <v>0</v>
      </c>
      <c r="I7" s="109" t="n">
        <v>6.87</v>
      </c>
      <c r="J7" s="108" t="s">
        <v>553</v>
      </c>
      <c r="K7" s="108" t="s">
        <v>364</v>
      </c>
    </row>
    <row r="8" customFormat="false" ht="23.25" hidden="false" customHeight="true" outlineLevel="0" collapsed="false">
      <c r="A8" s="107" t="s">
        <v>174</v>
      </c>
      <c r="B8" s="107" t="s">
        <v>239</v>
      </c>
      <c r="C8" s="107" t="s">
        <v>64</v>
      </c>
      <c r="D8" s="107" t="s">
        <v>237</v>
      </c>
      <c r="E8" s="107" t="s">
        <v>366</v>
      </c>
      <c r="F8" s="111" t="n">
        <v>957.58</v>
      </c>
      <c r="G8" s="112" t="n">
        <v>5</v>
      </c>
      <c r="H8" s="123" t="n">
        <v>0.45</v>
      </c>
      <c r="I8" s="111" t="n">
        <v>-383.03</v>
      </c>
      <c r="J8" s="107" t="s">
        <v>554</v>
      </c>
      <c r="K8" s="107" t="s">
        <v>360</v>
      </c>
    </row>
    <row r="9" customFormat="false" ht="23.25" hidden="false" customHeight="true" outlineLevel="0" collapsed="false">
      <c r="A9" s="108" t="s">
        <v>174</v>
      </c>
      <c r="B9" s="108" t="s">
        <v>239</v>
      </c>
      <c r="C9" s="108" t="s">
        <v>64</v>
      </c>
      <c r="D9" s="108" t="s">
        <v>32</v>
      </c>
      <c r="E9" s="108" t="s">
        <v>368</v>
      </c>
      <c r="F9" s="109" t="n">
        <v>22.37</v>
      </c>
      <c r="G9" s="110" t="n">
        <v>2</v>
      </c>
      <c r="H9" s="122" t="n">
        <v>0.2</v>
      </c>
      <c r="I9" s="109" t="n">
        <v>2.52</v>
      </c>
      <c r="J9" s="108" t="s">
        <v>554</v>
      </c>
      <c r="K9" s="108" t="s">
        <v>360</v>
      </c>
    </row>
    <row r="10" customFormat="false" ht="23.25" hidden="false" customHeight="true" outlineLevel="0" collapsed="false">
      <c r="A10" s="107" t="s">
        <v>176</v>
      </c>
      <c r="B10" s="107" t="s">
        <v>240</v>
      </c>
      <c r="C10" s="107" t="s">
        <v>68</v>
      </c>
      <c r="D10" s="107" t="s">
        <v>237</v>
      </c>
      <c r="E10" s="107" t="s">
        <v>370</v>
      </c>
      <c r="F10" s="111" t="n">
        <v>48.86</v>
      </c>
      <c r="G10" s="112" t="n">
        <v>7</v>
      </c>
      <c r="H10" s="123" t="n">
        <v>0</v>
      </c>
      <c r="I10" s="111" t="n">
        <v>14.17</v>
      </c>
      <c r="J10" s="107" t="s">
        <v>554</v>
      </c>
      <c r="K10" s="107" t="s">
        <v>360</v>
      </c>
    </row>
    <row r="11" customFormat="false" ht="23.25" hidden="false" customHeight="true" outlineLevel="0" collapsed="false">
      <c r="A11" s="108" t="s">
        <v>176</v>
      </c>
      <c r="B11" s="108" t="s">
        <v>240</v>
      </c>
      <c r="C11" s="108" t="s">
        <v>68</v>
      </c>
      <c r="D11" s="108" t="s">
        <v>32</v>
      </c>
      <c r="E11" s="108" t="s">
        <v>372</v>
      </c>
      <c r="F11" s="109" t="n">
        <v>7.28</v>
      </c>
      <c r="G11" s="110" t="n">
        <v>4</v>
      </c>
      <c r="H11" s="122" t="n">
        <v>0</v>
      </c>
      <c r="I11" s="109" t="n">
        <v>1.97</v>
      </c>
      <c r="J11" s="108" t="s">
        <v>554</v>
      </c>
      <c r="K11" s="108" t="s">
        <v>360</v>
      </c>
    </row>
    <row r="12" customFormat="false" ht="23.25" hidden="false" customHeight="true" outlineLevel="0" collapsed="false">
      <c r="A12" s="107" t="s">
        <v>176</v>
      </c>
      <c r="B12" s="107" t="s">
        <v>240</v>
      </c>
      <c r="C12" s="107" t="s">
        <v>68</v>
      </c>
      <c r="D12" s="107" t="s">
        <v>37</v>
      </c>
      <c r="E12" s="107" t="s">
        <v>374</v>
      </c>
      <c r="F12" s="111" t="n">
        <v>907.15</v>
      </c>
      <c r="G12" s="112" t="n">
        <v>6</v>
      </c>
      <c r="H12" s="123" t="n">
        <v>0.2</v>
      </c>
      <c r="I12" s="111" t="n">
        <v>90.72</v>
      </c>
      <c r="J12" s="107" t="s">
        <v>554</v>
      </c>
      <c r="K12" s="107" t="s">
        <v>360</v>
      </c>
    </row>
    <row r="13" customFormat="false" ht="23.25" hidden="false" customHeight="true" outlineLevel="0" collapsed="false">
      <c r="A13" s="108" t="s">
        <v>176</v>
      </c>
      <c r="B13" s="108" t="s">
        <v>240</v>
      </c>
      <c r="C13" s="108" t="s">
        <v>68</v>
      </c>
      <c r="D13" s="108" t="s">
        <v>32</v>
      </c>
      <c r="E13" s="108" t="s">
        <v>134</v>
      </c>
      <c r="F13" s="109" t="n">
        <v>18.5</v>
      </c>
      <c r="G13" s="110" t="n">
        <v>3</v>
      </c>
      <c r="H13" s="122" t="n">
        <v>0.2</v>
      </c>
      <c r="I13" s="109" t="n">
        <v>5.78</v>
      </c>
      <c r="J13" s="108" t="s">
        <v>554</v>
      </c>
      <c r="K13" s="108" t="s">
        <v>360</v>
      </c>
    </row>
    <row r="14" customFormat="false" ht="23.25" hidden="false" customHeight="true" outlineLevel="0" collapsed="false">
      <c r="A14" s="107" t="s">
        <v>176</v>
      </c>
      <c r="B14" s="107" t="s">
        <v>240</v>
      </c>
      <c r="C14" s="107" t="s">
        <v>68</v>
      </c>
      <c r="D14" s="107" t="s">
        <v>32</v>
      </c>
      <c r="E14" s="107" t="s">
        <v>159</v>
      </c>
      <c r="F14" s="111" t="n">
        <v>114.9</v>
      </c>
      <c r="G14" s="112" t="n">
        <v>5</v>
      </c>
      <c r="H14" s="123" t="n">
        <v>0</v>
      </c>
      <c r="I14" s="111" t="n">
        <v>34.47</v>
      </c>
      <c r="J14" s="107" t="s">
        <v>554</v>
      </c>
      <c r="K14" s="107" t="s">
        <v>360</v>
      </c>
    </row>
    <row r="15" customFormat="false" ht="23.25" hidden="false" customHeight="true" outlineLevel="0" collapsed="false">
      <c r="A15" s="108" t="s">
        <v>176</v>
      </c>
      <c r="B15" s="108" t="s">
        <v>240</v>
      </c>
      <c r="C15" s="108" t="s">
        <v>68</v>
      </c>
      <c r="D15" s="108" t="s">
        <v>237</v>
      </c>
      <c r="E15" s="108" t="s">
        <v>366</v>
      </c>
      <c r="F15" s="109" t="n">
        <v>1706.18</v>
      </c>
      <c r="G15" s="110" t="n">
        <v>9</v>
      </c>
      <c r="H15" s="122" t="n">
        <v>0.2</v>
      </c>
      <c r="I15" s="109" t="n">
        <v>85.31</v>
      </c>
      <c r="J15" s="108" t="s">
        <v>554</v>
      </c>
      <c r="K15" s="108" t="s">
        <v>360</v>
      </c>
    </row>
    <row r="16" customFormat="false" ht="23.25" hidden="false" customHeight="true" outlineLevel="0" collapsed="false">
      <c r="A16" s="107" t="s">
        <v>176</v>
      </c>
      <c r="B16" s="107" t="s">
        <v>240</v>
      </c>
      <c r="C16" s="107" t="s">
        <v>68</v>
      </c>
      <c r="D16" s="107" t="s">
        <v>37</v>
      </c>
      <c r="E16" s="107" t="s">
        <v>374</v>
      </c>
      <c r="F16" s="111" t="n">
        <v>911.42</v>
      </c>
      <c r="G16" s="112" t="n">
        <v>4</v>
      </c>
      <c r="H16" s="123" t="n">
        <v>0.2</v>
      </c>
      <c r="I16" s="111" t="n">
        <v>68.36</v>
      </c>
      <c r="J16" s="107" t="s">
        <v>554</v>
      </c>
      <c r="K16" s="107" t="s">
        <v>360</v>
      </c>
    </row>
    <row r="17" customFormat="false" ht="23.25" hidden="false" customHeight="true" outlineLevel="0" collapsed="false">
      <c r="A17" s="108" t="s">
        <v>177</v>
      </c>
      <c r="B17" s="108" t="s">
        <v>241</v>
      </c>
      <c r="C17" s="108" t="s">
        <v>64</v>
      </c>
      <c r="D17" s="108" t="s">
        <v>32</v>
      </c>
      <c r="E17" s="108" t="s">
        <v>149</v>
      </c>
      <c r="F17" s="109" t="n">
        <v>15.55</v>
      </c>
      <c r="G17" s="110" t="n">
        <v>3</v>
      </c>
      <c r="H17" s="122" t="n">
        <v>0.2</v>
      </c>
      <c r="I17" s="109" t="n">
        <v>5.44</v>
      </c>
      <c r="J17" s="108" t="s">
        <v>554</v>
      </c>
      <c r="K17" s="108" t="s">
        <v>360</v>
      </c>
    </row>
    <row r="18" customFormat="false" ht="23.25" hidden="false" customHeight="true" outlineLevel="0" collapsed="false">
      <c r="A18" s="107" t="s">
        <v>178</v>
      </c>
      <c r="B18" s="107" t="s">
        <v>242</v>
      </c>
      <c r="C18" s="107" t="s">
        <v>68</v>
      </c>
      <c r="D18" s="107" t="s">
        <v>32</v>
      </c>
      <c r="E18" s="107" t="s">
        <v>134</v>
      </c>
      <c r="F18" s="111" t="n">
        <v>407.98</v>
      </c>
      <c r="G18" s="112" t="n">
        <v>3</v>
      </c>
      <c r="H18" s="123" t="n">
        <v>0.2</v>
      </c>
      <c r="I18" s="111" t="n">
        <v>132.59</v>
      </c>
      <c r="J18" s="107" t="s">
        <v>554</v>
      </c>
      <c r="K18" s="107" t="s">
        <v>360</v>
      </c>
    </row>
    <row r="19" customFormat="false" ht="23.25" hidden="false" customHeight="true" outlineLevel="0" collapsed="false">
      <c r="A19" s="108" t="s">
        <v>179</v>
      </c>
      <c r="B19" s="108" t="s">
        <v>243</v>
      </c>
      <c r="C19" s="108" t="s">
        <v>67</v>
      </c>
      <c r="D19" s="108" t="s">
        <v>32</v>
      </c>
      <c r="E19" s="108" t="s">
        <v>159</v>
      </c>
      <c r="F19" s="109" t="n">
        <v>68.81</v>
      </c>
      <c r="G19" s="110" t="n">
        <v>5</v>
      </c>
      <c r="H19" s="122" t="n">
        <v>0.8</v>
      </c>
      <c r="I19" s="109" t="n">
        <v>-123.86</v>
      </c>
      <c r="J19" s="108" t="s">
        <v>554</v>
      </c>
      <c r="K19" s="108" t="s">
        <v>382</v>
      </c>
    </row>
    <row r="20" customFormat="false" ht="23.25" hidden="false" customHeight="true" outlineLevel="0" collapsed="false">
      <c r="A20" s="107" t="s">
        <v>179</v>
      </c>
      <c r="B20" s="107" t="s">
        <v>243</v>
      </c>
      <c r="C20" s="107" t="s">
        <v>67</v>
      </c>
      <c r="D20" s="107" t="s">
        <v>32</v>
      </c>
      <c r="E20" s="107" t="s">
        <v>134</v>
      </c>
      <c r="F20" s="111" t="n">
        <v>2.54</v>
      </c>
      <c r="G20" s="112" t="n">
        <v>3</v>
      </c>
      <c r="H20" s="123" t="n">
        <v>0.8</v>
      </c>
      <c r="I20" s="111" t="n">
        <v>-3.82</v>
      </c>
      <c r="J20" s="107" t="s">
        <v>554</v>
      </c>
      <c r="K20" s="107" t="s">
        <v>382</v>
      </c>
    </row>
    <row r="21" customFormat="false" ht="23.25" hidden="false" customHeight="true" outlineLevel="0" collapsed="false">
      <c r="A21" s="108" t="s">
        <v>180</v>
      </c>
      <c r="B21" s="108" t="s">
        <v>244</v>
      </c>
      <c r="C21" s="108" t="s">
        <v>67</v>
      </c>
      <c r="D21" s="108" t="s">
        <v>32</v>
      </c>
      <c r="E21" s="108" t="s">
        <v>368</v>
      </c>
      <c r="F21" s="109" t="n">
        <v>665.88</v>
      </c>
      <c r="G21" s="110" t="n">
        <v>6</v>
      </c>
      <c r="H21" s="122" t="n">
        <v>0</v>
      </c>
      <c r="I21" s="109" t="n">
        <v>13.32</v>
      </c>
      <c r="J21" s="108" t="s">
        <v>554</v>
      </c>
      <c r="K21" s="108" t="s">
        <v>360</v>
      </c>
    </row>
    <row r="22" customFormat="false" ht="15" hidden="false" customHeight="true" outlineLevel="0" collapsed="false">
      <c r="A22" s="107" t="s">
        <v>181</v>
      </c>
      <c r="B22" s="107" t="s">
        <v>245</v>
      </c>
      <c r="C22" s="107" t="s">
        <v>68</v>
      </c>
      <c r="D22" s="107" t="s">
        <v>32</v>
      </c>
      <c r="E22" s="107" t="s">
        <v>368</v>
      </c>
      <c r="F22" s="111" t="n">
        <v>55.5</v>
      </c>
      <c r="G22" s="112" t="n">
        <v>2</v>
      </c>
      <c r="H22" s="123" t="n">
        <v>0</v>
      </c>
      <c r="I22" s="111" t="n">
        <v>9.99</v>
      </c>
      <c r="J22" s="107" t="s">
        <v>553</v>
      </c>
      <c r="K22" s="107" t="s">
        <v>360</v>
      </c>
    </row>
    <row r="23" customFormat="false" ht="15" hidden="false" customHeight="true" outlineLevel="0" collapsed="false">
      <c r="A23" s="108" t="s">
        <v>183</v>
      </c>
      <c r="B23" s="108" t="s">
        <v>246</v>
      </c>
      <c r="C23" s="108" t="s">
        <v>68</v>
      </c>
      <c r="D23" s="108" t="s">
        <v>32</v>
      </c>
      <c r="E23" s="108" t="s">
        <v>372</v>
      </c>
      <c r="F23" s="109" t="n">
        <v>8.56</v>
      </c>
      <c r="G23" s="110" t="n">
        <v>2</v>
      </c>
      <c r="H23" s="122" t="n">
        <v>0</v>
      </c>
      <c r="I23" s="109" t="n">
        <v>2.48</v>
      </c>
      <c r="J23" s="108" t="s">
        <v>553</v>
      </c>
      <c r="K23" s="108" t="s">
        <v>360</v>
      </c>
    </row>
    <row r="24" customFormat="false" ht="15" hidden="false" customHeight="true" outlineLevel="0" collapsed="false">
      <c r="A24" s="107" t="s">
        <v>183</v>
      </c>
      <c r="B24" s="107" t="s">
        <v>246</v>
      </c>
      <c r="C24" s="107" t="s">
        <v>68</v>
      </c>
      <c r="D24" s="107" t="s">
        <v>37</v>
      </c>
      <c r="E24" s="107" t="s">
        <v>374</v>
      </c>
      <c r="F24" s="111" t="n">
        <v>213.48</v>
      </c>
      <c r="G24" s="112" t="n">
        <v>3</v>
      </c>
      <c r="H24" s="123" t="n">
        <v>0.2</v>
      </c>
      <c r="I24" s="111" t="n">
        <v>16.01</v>
      </c>
      <c r="J24" s="107" t="s">
        <v>553</v>
      </c>
      <c r="K24" s="107" t="s">
        <v>360</v>
      </c>
    </row>
    <row r="25" customFormat="false" ht="15" hidden="false" customHeight="true" outlineLevel="0" collapsed="false">
      <c r="A25" s="108" t="s">
        <v>183</v>
      </c>
      <c r="B25" s="108" t="s">
        <v>246</v>
      </c>
      <c r="C25" s="108" t="s">
        <v>68</v>
      </c>
      <c r="D25" s="108" t="s">
        <v>32</v>
      </c>
      <c r="E25" s="108" t="s">
        <v>134</v>
      </c>
      <c r="F25" s="109" t="n">
        <v>22.72</v>
      </c>
      <c r="G25" s="110" t="n">
        <v>4</v>
      </c>
      <c r="H25" s="122" t="n">
        <v>0.2</v>
      </c>
      <c r="I25" s="109" t="n">
        <v>7.38</v>
      </c>
      <c r="J25" s="108" t="s">
        <v>553</v>
      </c>
      <c r="K25" s="108" t="s">
        <v>360</v>
      </c>
    </row>
    <row r="26" customFormat="false" ht="23.25" hidden="false" customHeight="true" outlineLevel="0" collapsed="false">
      <c r="A26" s="107" t="s">
        <v>184</v>
      </c>
      <c r="B26" s="107" t="s">
        <v>247</v>
      </c>
      <c r="C26" s="107" t="s">
        <v>67</v>
      </c>
      <c r="D26" s="107" t="s">
        <v>32</v>
      </c>
      <c r="E26" s="107" t="s">
        <v>372</v>
      </c>
      <c r="F26" s="111" t="n">
        <v>19.46</v>
      </c>
      <c r="G26" s="112" t="n">
        <v>7</v>
      </c>
      <c r="H26" s="123" t="n">
        <v>0</v>
      </c>
      <c r="I26" s="111" t="n">
        <v>5.06</v>
      </c>
      <c r="J26" s="107" t="s">
        <v>554</v>
      </c>
      <c r="K26" s="107" t="s">
        <v>364</v>
      </c>
    </row>
    <row r="27" customFormat="false" ht="23.25" hidden="false" customHeight="true" outlineLevel="0" collapsed="false">
      <c r="A27" s="108" t="s">
        <v>184</v>
      </c>
      <c r="B27" s="108" t="s">
        <v>247</v>
      </c>
      <c r="C27" s="108" t="s">
        <v>67</v>
      </c>
      <c r="D27" s="108" t="s">
        <v>32</v>
      </c>
      <c r="E27" s="108" t="s">
        <v>159</v>
      </c>
      <c r="F27" s="109" t="n">
        <v>60.34</v>
      </c>
      <c r="G27" s="110" t="n">
        <v>7</v>
      </c>
      <c r="H27" s="122" t="n">
        <v>0</v>
      </c>
      <c r="I27" s="109" t="n">
        <v>15.69</v>
      </c>
      <c r="J27" s="108" t="s">
        <v>554</v>
      </c>
      <c r="K27" s="108" t="s">
        <v>364</v>
      </c>
    </row>
    <row r="28" customFormat="false" ht="15" hidden="false" customHeight="true" outlineLevel="0" collapsed="false">
      <c r="A28" s="107" t="s">
        <v>185</v>
      </c>
      <c r="B28" s="107" t="s">
        <v>248</v>
      </c>
      <c r="C28" s="107" t="s">
        <v>69</v>
      </c>
      <c r="D28" s="107" t="s">
        <v>237</v>
      </c>
      <c r="E28" s="107" t="s">
        <v>362</v>
      </c>
      <c r="F28" s="111" t="n">
        <v>71.37</v>
      </c>
      <c r="G28" s="112" t="n">
        <v>2</v>
      </c>
      <c r="H28" s="123" t="n">
        <v>0.3</v>
      </c>
      <c r="I28" s="111" t="n">
        <v>-1.02</v>
      </c>
      <c r="J28" s="107" t="s">
        <v>553</v>
      </c>
      <c r="K28" s="107" t="s">
        <v>360</v>
      </c>
    </row>
    <row r="29" customFormat="false" ht="23.25" hidden="false" customHeight="true" outlineLevel="0" collapsed="false">
      <c r="A29" s="108" t="s">
        <v>186</v>
      </c>
      <c r="B29" s="108" t="s">
        <v>249</v>
      </c>
      <c r="C29" s="108" t="s">
        <v>68</v>
      </c>
      <c r="D29" s="108" t="s">
        <v>237</v>
      </c>
      <c r="E29" s="108" t="s">
        <v>366</v>
      </c>
      <c r="F29" s="109" t="n">
        <v>1044.63</v>
      </c>
      <c r="G29" s="110" t="n">
        <v>3</v>
      </c>
      <c r="H29" s="122" t="n">
        <v>0</v>
      </c>
      <c r="I29" s="109" t="n">
        <v>240.26</v>
      </c>
      <c r="J29" s="108" t="s">
        <v>554</v>
      </c>
      <c r="K29" s="108" t="s">
        <v>360</v>
      </c>
    </row>
    <row r="30" customFormat="false" ht="15" hidden="false" customHeight="true" outlineLevel="0" collapsed="false">
      <c r="A30" s="107" t="s">
        <v>187</v>
      </c>
      <c r="B30" s="107" t="s">
        <v>250</v>
      </c>
      <c r="C30" s="107" t="s">
        <v>68</v>
      </c>
      <c r="D30" s="107" t="s">
        <v>32</v>
      </c>
      <c r="E30" s="107" t="s">
        <v>134</v>
      </c>
      <c r="F30" s="111" t="n">
        <v>11.65</v>
      </c>
      <c r="G30" s="112" t="n">
        <v>2</v>
      </c>
      <c r="H30" s="123" t="n">
        <v>0.2</v>
      </c>
      <c r="I30" s="111" t="n">
        <v>4.22</v>
      </c>
      <c r="J30" s="107" t="s">
        <v>553</v>
      </c>
      <c r="K30" s="107" t="s">
        <v>360</v>
      </c>
    </row>
    <row r="31" customFormat="false" ht="15" hidden="false" customHeight="true" outlineLevel="0" collapsed="false">
      <c r="A31" s="108" t="s">
        <v>187</v>
      </c>
      <c r="B31" s="108" t="s">
        <v>250</v>
      </c>
      <c r="C31" s="108" t="s">
        <v>68</v>
      </c>
      <c r="D31" s="108" t="s">
        <v>37</v>
      </c>
      <c r="E31" s="108" t="s">
        <v>394</v>
      </c>
      <c r="F31" s="109" t="n">
        <v>90.57</v>
      </c>
      <c r="G31" s="110" t="n">
        <v>3</v>
      </c>
      <c r="H31" s="122" t="n">
        <v>0</v>
      </c>
      <c r="I31" s="109" t="n">
        <v>11.77</v>
      </c>
      <c r="J31" s="108" t="s">
        <v>553</v>
      </c>
      <c r="K31" s="108" t="s">
        <v>360</v>
      </c>
    </row>
    <row r="32" customFormat="false" ht="23.25" hidden="false" customHeight="true" outlineLevel="0" collapsed="false">
      <c r="A32" s="107" t="s">
        <v>188</v>
      </c>
      <c r="B32" s="107" t="s">
        <v>251</v>
      </c>
      <c r="C32" s="107" t="s">
        <v>69</v>
      </c>
      <c r="D32" s="107" t="s">
        <v>237</v>
      </c>
      <c r="E32" s="107" t="s">
        <v>361</v>
      </c>
      <c r="F32" s="111" t="n">
        <v>3083.43</v>
      </c>
      <c r="G32" s="112" t="n">
        <v>7</v>
      </c>
      <c r="H32" s="123" t="n">
        <v>0.5</v>
      </c>
      <c r="I32" s="111" t="n">
        <v>-1665.05</v>
      </c>
      <c r="J32" s="107" t="s">
        <v>554</v>
      </c>
      <c r="K32" s="107" t="s">
        <v>360</v>
      </c>
    </row>
    <row r="33" customFormat="false" ht="23.25" hidden="false" customHeight="true" outlineLevel="0" collapsed="false">
      <c r="A33" s="108" t="s">
        <v>188</v>
      </c>
      <c r="B33" s="108" t="s">
        <v>251</v>
      </c>
      <c r="C33" s="108" t="s">
        <v>69</v>
      </c>
      <c r="D33" s="108" t="s">
        <v>32</v>
      </c>
      <c r="E33" s="108" t="s">
        <v>134</v>
      </c>
      <c r="F33" s="109" t="n">
        <v>9.62</v>
      </c>
      <c r="G33" s="110" t="n">
        <v>2</v>
      </c>
      <c r="H33" s="122" t="n">
        <v>0.7</v>
      </c>
      <c r="I33" s="109" t="n">
        <v>-7.05</v>
      </c>
      <c r="J33" s="108" t="s">
        <v>554</v>
      </c>
      <c r="K33" s="108" t="s">
        <v>360</v>
      </c>
    </row>
    <row r="34" customFormat="false" ht="23.25" hidden="false" customHeight="true" outlineLevel="0" collapsed="false">
      <c r="A34" s="107" t="s">
        <v>188</v>
      </c>
      <c r="B34" s="107" t="s">
        <v>251</v>
      </c>
      <c r="C34" s="107" t="s">
        <v>69</v>
      </c>
      <c r="D34" s="107" t="s">
        <v>237</v>
      </c>
      <c r="E34" s="107" t="s">
        <v>370</v>
      </c>
      <c r="F34" s="111" t="n">
        <v>124.2</v>
      </c>
      <c r="G34" s="112" t="n">
        <v>3</v>
      </c>
      <c r="H34" s="123" t="n">
        <v>0.2</v>
      </c>
      <c r="I34" s="111" t="n">
        <v>15.53</v>
      </c>
      <c r="J34" s="107" t="s">
        <v>554</v>
      </c>
      <c r="K34" s="107" t="s">
        <v>360</v>
      </c>
    </row>
    <row r="36" customFormat="false" ht="7.5" hidden="false" customHeight="true" outlineLevel="0" collapsed="false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</row>
    <row r="37" customFormat="false" ht="21.75" hidden="false" customHeight="true" outlineLevel="0" collapsed="false">
      <c r="A37" s="66" t="s">
        <v>555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</row>
    <row r="38" customFormat="false" ht="19.5" hidden="false" customHeight="true" outlineLevel="0" collapsed="false">
      <c r="A38" s="67" t="s">
        <v>258</v>
      </c>
      <c r="B38" s="67" t="s">
        <v>556</v>
      </c>
      <c r="C38" s="67"/>
      <c r="D38" s="67"/>
      <c r="E38" s="67" t="s">
        <v>190</v>
      </c>
      <c r="F38" s="67"/>
      <c r="G38" s="67"/>
      <c r="H38" s="67"/>
      <c r="I38" s="67"/>
      <c r="J38" s="67" t="s">
        <v>557</v>
      </c>
      <c r="K38" s="67" t="s">
        <v>558</v>
      </c>
    </row>
    <row r="39" customFormat="false" ht="19.5" hidden="false" customHeight="true" outlineLevel="0" collapsed="false">
      <c r="A39" s="96" t="s">
        <v>559</v>
      </c>
      <c r="B39" s="68" t="s">
        <v>560</v>
      </c>
      <c r="C39" s="68"/>
      <c r="D39" s="68"/>
      <c r="E39" s="125" t="n">
        <f aca="false">COUNTIF(C5:C34,"East")</f>
        <v>4</v>
      </c>
      <c r="F39" s="125"/>
      <c r="G39" s="125"/>
      <c r="H39" s="125"/>
      <c r="I39" s="125"/>
      <c r="J39" s="114" t="n">
        <f aca="false">COUNTIF(C5:C34,"East")</f>
        <v>4</v>
      </c>
      <c r="K39" s="68" t="s">
        <v>561</v>
      </c>
    </row>
    <row r="40" customFormat="false" ht="19.5" hidden="false" customHeight="true" outlineLevel="0" collapsed="false">
      <c r="A40" s="95" t="s">
        <v>559</v>
      </c>
      <c r="B40" s="73" t="s">
        <v>562</v>
      </c>
      <c r="C40" s="73"/>
      <c r="D40" s="73"/>
      <c r="E40" s="126" t="n">
        <f aca="false">COUNTIF(F5:F34,"&gt;500")</f>
        <v>8</v>
      </c>
      <c r="F40" s="126"/>
      <c r="G40" s="126"/>
      <c r="H40" s="126"/>
      <c r="I40" s="126"/>
      <c r="J40" s="115" t="n">
        <f aca="false">COUNTIF(F5:F34,"&gt;500")</f>
        <v>8</v>
      </c>
      <c r="K40" s="73" t="s">
        <v>563</v>
      </c>
    </row>
    <row r="41" customFormat="false" ht="19.5" hidden="false" customHeight="true" outlineLevel="0" collapsed="false">
      <c r="A41" s="96" t="s">
        <v>559</v>
      </c>
      <c r="B41" s="68" t="s">
        <v>564</v>
      </c>
      <c r="C41" s="68"/>
      <c r="D41" s="68"/>
      <c r="E41" s="125" t="n">
        <f aca="false">COUNTIF(D5:D34,"Technology")</f>
        <v>4</v>
      </c>
      <c r="F41" s="125"/>
      <c r="G41" s="125"/>
      <c r="H41" s="125"/>
      <c r="I41" s="125"/>
      <c r="J41" s="114" t="n">
        <f aca="false">COUNTIF(D5:D34,"Technology")</f>
        <v>4</v>
      </c>
      <c r="K41" s="68" t="s">
        <v>565</v>
      </c>
    </row>
    <row r="42" customFormat="false" ht="19.5" hidden="false" customHeight="true" outlineLevel="0" collapsed="false">
      <c r="A42" s="95" t="s">
        <v>566</v>
      </c>
      <c r="B42" s="73" t="s">
        <v>567</v>
      </c>
      <c r="C42" s="73"/>
      <c r="D42" s="73"/>
      <c r="E42" s="126" t="n">
        <f aca="false">SUMIF(C5:C34,"West",F5:F34)</f>
        <v>5584</v>
      </c>
      <c r="F42" s="126"/>
      <c r="G42" s="126"/>
      <c r="H42" s="126"/>
      <c r="I42" s="126"/>
      <c r="J42" s="91" t="n">
        <f aca="false">SUMIF(C5:C34,"West",F5:F34)</f>
        <v>5584</v>
      </c>
      <c r="K42" s="73" t="s">
        <v>568</v>
      </c>
    </row>
    <row r="43" customFormat="false" ht="19.5" hidden="false" customHeight="true" outlineLevel="0" collapsed="false">
      <c r="A43" s="96" t="s">
        <v>566</v>
      </c>
      <c r="B43" s="68" t="s">
        <v>569</v>
      </c>
      <c r="C43" s="68"/>
      <c r="D43" s="68"/>
      <c r="E43" s="125" t="n">
        <f aca="false">SUMIF(D5:D34,"Furniture",I5:I34)</f>
        <v>-1432.34</v>
      </c>
      <c r="F43" s="125"/>
      <c r="G43" s="125"/>
      <c r="H43" s="125"/>
      <c r="I43" s="125"/>
      <c r="J43" s="92" t="n">
        <f aca="false">SUMIF(D5:D34,"Furniture",I5:I34)</f>
        <v>-1432.34</v>
      </c>
      <c r="K43" s="68" t="s">
        <v>570</v>
      </c>
    </row>
    <row r="44" customFormat="false" ht="19.5" hidden="false" customHeight="true" outlineLevel="0" collapsed="false">
      <c r="A44" s="95" t="s">
        <v>566</v>
      </c>
      <c r="B44" s="73" t="s">
        <v>571</v>
      </c>
      <c r="C44" s="73"/>
      <c r="D44" s="73"/>
      <c r="E44" s="126" t="n">
        <f aca="false">SUMIF(H5:H34,"&gt;0",F5:F34)</f>
        <v>8554.55</v>
      </c>
      <c r="F44" s="126"/>
      <c r="G44" s="126"/>
      <c r="H44" s="126"/>
      <c r="I44" s="126"/>
      <c r="J44" s="91" t="n">
        <f aca="false">SUMIF(H5:H34,"&gt;0",F5:F34)</f>
        <v>8554.55</v>
      </c>
      <c r="K44" s="73" t="s">
        <v>572</v>
      </c>
    </row>
    <row r="45" customFormat="false" ht="19.5" hidden="false" customHeight="true" outlineLevel="0" collapsed="false">
      <c r="A45" s="96" t="s">
        <v>573</v>
      </c>
      <c r="B45" s="68" t="s">
        <v>574</v>
      </c>
      <c r="C45" s="68"/>
      <c r="D45" s="68"/>
      <c r="E45" s="125" t="n">
        <f aca="false">AVERAGEIF(C5:C34,"Central",F5:F34)</f>
        <v>163.406</v>
      </c>
      <c r="F45" s="125"/>
      <c r="G45" s="125"/>
      <c r="H45" s="125"/>
      <c r="I45" s="125"/>
      <c r="J45" s="92" t="n">
        <f aca="false">AVERAGEIF(C5:C34,"Central",F5:F34)</f>
        <v>163.406</v>
      </c>
      <c r="K45" s="68" t="s">
        <v>575</v>
      </c>
    </row>
    <row r="46" customFormat="false" ht="19.5" hidden="false" customHeight="true" outlineLevel="0" collapsed="false">
      <c r="A46" s="95" t="s">
        <v>573</v>
      </c>
      <c r="B46" s="73" t="s">
        <v>576</v>
      </c>
      <c r="C46" s="73"/>
      <c r="D46" s="73"/>
      <c r="E46" s="126" t="n">
        <f aca="false">AVERAGEIF(D5:D34,"Office Supplies",G5:G34)</f>
        <v>3.64705882352941</v>
      </c>
      <c r="F46" s="126"/>
      <c r="G46" s="126"/>
      <c r="H46" s="126"/>
      <c r="I46" s="126"/>
      <c r="J46" s="127" t="n">
        <f aca="false">AVERAGEIF(D5:D34,"Office Supplies",G5:G34)</f>
        <v>3.64705882352941</v>
      </c>
      <c r="K46" s="73" t="s">
        <v>577</v>
      </c>
    </row>
    <row r="47" customFormat="false" ht="19.5" hidden="false" customHeight="true" outlineLevel="0" collapsed="false">
      <c r="A47" s="96" t="s">
        <v>573</v>
      </c>
      <c r="B47" s="68" t="s">
        <v>578</v>
      </c>
      <c r="C47" s="68"/>
      <c r="D47" s="68"/>
      <c r="E47" s="125" t="n">
        <f aca="false">AVERAGEIF(I5:I34,"&gt;0",I5:I34)</f>
        <v>43.8083333333333</v>
      </c>
      <c r="F47" s="125"/>
      <c r="G47" s="125"/>
      <c r="H47" s="125"/>
      <c r="I47" s="125"/>
      <c r="J47" s="92" t="n">
        <f aca="false">AVERAGEIF(I5:I34,"&gt;0",I5:I34)</f>
        <v>43.8083333333333</v>
      </c>
      <c r="K47" s="68" t="s">
        <v>579</v>
      </c>
    </row>
    <row r="49" customFormat="false" ht="7.5" hidden="false" customHeight="true" outlineLevel="0" collapsed="false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</row>
    <row r="50" customFormat="false" ht="21.75" hidden="false" customHeight="true" outlineLevel="0" collapsed="false">
      <c r="A50" s="78" t="s">
        <v>580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</row>
    <row r="51" customFormat="false" ht="19.5" hidden="false" customHeight="true" outlineLevel="0" collapsed="false">
      <c r="A51" s="67" t="s">
        <v>258</v>
      </c>
      <c r="B51" s="67" t="s">
        <v>581</v>
      </c>
      <c r="C51" s="67"/>
      <c r="D51" s="67" t="s">
        <v>582</v>
      </c>
      <c r="E51" s="67"/>
      <c r="F51" s="67" t="s">
        <v>190</v>
      </c>
      <c r="G51" s="67"/>
      <c r="H51" s="67"/>
      <c r="I51" s="67"/>
      <c r="J51" s="67" t="s">
        <v>557</v>
      </c>
      <c r="K51" s="67" t="s">
        <v>558</v>
      </c>
    </row>
    <row r="52" customFormat="false" ht="21.75" hidden="false" customHeight="true" outlineLevel="0" collapsed="false">
      <c r="A52" s="95" t="s">
        <v>583</v>
      </c>
      <c r="B52" s="73" t="s">
        <v>584</v>
      </c>
      <c r="C52" s="73"/>
      <c r="D52" s="73" t="s">
        <v>585</v>
      </c>
      <c r="E52" s="73"/>
      <c r="F52" s="126" t="n">
        <f aca="false">COUNTIFS(C5:C34,"East",D5:D34,"Technology")</f>
        <v>0</v>
      </c>
      <c r="G52" s="126"/>
      <c r="H52" s="126"/>
      <c r="I52" s="126"/>
      <c r="J52" s="115" t="n">
        <f aca="false">COUNTIFS(C5:C34,"East",D5:D34,"Technology")</f>
        <v>0</v>
      </c>
      <c r="K52" s="73" t="s">
        <v>586</v>
      </c>
    </row>
    <row r="53" customFormat="false" ht="21.75" hidden="false" customHeight="true" outlineLevel="0" collapsed="false">
      <c r="A53" s="96" t="s">
        <v>583</v>
      </c>
      <c r="B53" s="68" t="s">
        <v>587</v>
      </c>
      <c r="C53" s="68"/>
      <c r="D53" s="68" t="s">
        <v>588</v>
      </c>
      <c r="E53" s="68"/>
      <c r="F53" s="125" t="n">
        <f aca="false">COUNTIFS(F5:F34,"&gt;200",H5:H34,0)</f>
        <v>4</v>
      </c>
      <c r="G53" s="125"/>
      <c r="H53" s="125"/>
      <c r="I53" s="125"/>
      <c r="J53" s="114" t="n">
        <f aca="false">COUNTIFS(F5:F34,"&gt;200",H5:H34,0)</f>
        <v>4</v>
      </c>
      <c r="K53" s="68" t="s">
        <v>589</v>
      </c>
    </row>
    <row r="54" customFormat="false" ht="21.75" hidden="false" customHeight="true" outlineLevel="0" collapsed="false">
      <c r="A54" s="95" t="s">
        <v>583</v>
      </c>
      <c r="B54" s="73" t="s">
        <v>590</v>
      </c>
      <c r="C54" s="73"/>
      <c r="D54" s="73" t="s">
        <v>591</v>
      </c>
      <c r="E54" s="73"/>
      <c r="F54" s="126" t="n">
        <f aca="false">COUNTIFS(K5:K34,"Consumer",I5:I34,"&gt;0")</f>
        <v>21</v>
      </c>
      <c r="G54" s="126"/>
      <c r="H54" s="126"/>
      <c r="I54" s="126"/>
      <c r="J54" s="115" t="n">
        <f aca="false">COUNTIFS(K5:K34,"Consumer",I5:I34,"&gt;0")</f>
        <v>21</v>
      </c>
      <c r="K54" s="73" t="s">
        <v>592</v>
      </c>
    </row>
    <row r="55" customFormat="false" ht="21.75" hidden="false" customHeight="true" outlineLevel="0" collapsed="false">
      <c r="A55" s="96" t="s">
        <v>593</v>
      </c>
      <c r="B55" s="68" t="s">
        <v>594</v>
      </c>
      <c r="C55" s="68"/>
      <c r="D55" s="68" t="s">
        <v>585</v>
      </c>
      <c r="E55" s="68"/>
      <c r="F55" s="125" t="n">
        <f aca="false">SUMIFS(F5:F34,C5:C34,"West",D5:D34,"Technology")</f>
        <v>2122.62</v>
      </c>
      <c r="G55" s="125"/>
      <c r="H55" s="125"/>
      <c r="I55" s="125"/>
      <c r="J55" s="92" t="n">
        <f aca="false">SUMIFS(F5:F34,C5:C34,"West",D5:D34,"Technology")</f>
        <v>2122.62</v>
      </c>
      <c r="K55" s="68" t="s">
        <v>595</v>
      </c>
    </row>
    <row r="56" customFormat="false" ht="21.75" hidden="false" customHeight="true" outlineLevel="0" collapsed="false">
      <c r="A56" s="95" t="s">
        <v>593</v>
      </c>
      <c r="B56" s="73" t="s">
        <v>588</v>
      </c>
      <c r="C56" s="73"/>
      <c r="D56" s="73" t="s">
        <v>591</v>
      </c>
      <c r="E56" s="73"/>
      <c r="F56" s="126" t="n">
        <f aca="false">SUMIFS(F5:F34,H5:H34,0,I5:I34,"&gt;0")</f>
        <v>3124.5</v>
      </c>
      <c r="G56" s="126"/>
      <c r="H56" s="126"/>
      <c r="I56" s="126"/>
      <c r="J56" s="91" t="n">
        <f aca="false">SUMIFS(F5:F34,H5:H34,0,I5:I34,"&gt;0")</f>
        <v>3124.5</v>
      </c>
      <c r="K56" s="73" t="s">
        <v>596</v>
      </c>
    </row>
    <row r="57" customFormat="false" ht="21.75" hidden="false" customHeight="true" outlineLevel="0" collapsed="false">
      <c r="A57" s="96" t="s">
        <v>593</v>
      </c>
      <c r="B57" s="68" t="s">
        <v>597</v>
      </c>
      <c r="C57" s="68"/>
      <c r="D57" s="68" t="s">
        <v>598</v>
      </c>
      <c r="E57" s="68"/>
      <c r="F57" s="125" t="n">
        <f aca="false">SUMIFS(I5:I34,D5:D34,"Furniture",C5:C34,"South")</f>
        <v>-121.54</v>
      </c>
      <c r="G57" s="125"/>
      <c r="H57" s="125"/>
      <c r="I57" s="125"/>
      <c r="J57" s="92" t="n">
        <f aca="false">SUMIFS(I5:I34,D5:D34,"Furniture",C5:C34,"South")</f>
        <v>-121.54</v>
      </c>
      <c r="K57" s="68" t="s">
        <v>599</v>
      </c>
    </row>
    <row r="58" customFormat="false" ht="21.75" hidden="false" customHeight="true" outlineLevel="0" collapsed="false">
      <c r="A58" s="95" t="s">
        <v>600</v>
      </c>
      <c r="B58" s="73" t="s">
        <v>584</v>
      </c>
      <c r="C58" s="73"/>
      <c r="D58" s="73" t="s">
        <v>601</v>
      </c>
      <c r="E58" s="73"/>
      <c r="F58" s="126" t="n">
        <f aca="false">AVERAGEIFS(F5:F34,C5:C34,"East",F5:F34,"&gt;100")</f>
        <v>1603.815</v>
      </c>
      <c r="G58" s="126"/>
      <c r="H58" s="126"/>
      <c r="I58" s="126"/>
      <c r="J58" s="91" t="n">
        <f aca="false">AVERAGEIFS(F5:F34,C5:C34,"East",F5:F34,"&gt;100")</f>
        <v>1603.815</v>
      </c>
      <c r="K58" s="73" t="s">
        <v>602</v>
      </c>
    </row>
    <row r="60" customFormat="false" ht="7.5" hidden="false" customHeight="true" outlineLevel="0" collapsed="false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</row>
    <row r="61" customFormat="false" ht="21.75" hidden="false" customHeight="true" outlineLevel="0" collapsed="false">
      <c r="A61" s="93" t="s">
        <v>603</v>
      </c>
      <c r="B61" s="93"/>
      <c r="C61" s="93"/>
      <c r="D61" s="93"/>
      <c r="E61" s="93"/>
      <c r="F61" s="93"/>
      <c r="G61" s="93"/>
      <c r="H61" s="93"/>
      <c r="I61" s="93"/>
      <c r="J61" s="93"/>
      <c r="K61" s="93"/>
    </row>
    <row r="62" customFormat="false" ht="15" hidden="false" customHeight="true" outlineLevel="0" collapsed="false">
      <c r="A62" s="67" t="s">
        <v>258</v>
      </c>
      <c r="B62" s="67" t="s">
        <v>191</v>
      </c>
      <c r="C62" s="67"/>
      <c r="D62" s="67"/>
      <c r="E62" s="67"/>
      <c r="F62" s="67"/>
      <c r="G62" s="67"/>
      <c r="H62" s="67"/>
      <c r="I62" s="67" t="s">
        <v>604</v>
      </c>
      <c r="J62" s="67"/>
      <c r="K62" s="67"/>
    </row>
    <row r="63" customFormat="false" ht="21.75" hidden="false" customHeight="true" outlineLevel="0" collapsed="false">
      <c r="A63" s="96" t="s">
        <v>559</v>
      </c>
      <c r="B63" s="83" t="s">
        <v>605</v>
      </c>
      <c r="C63" s="83"/>
      <c r="D63" s="83"/>
      <c r="E63" s="83"/>
      <c r="F63" s="83"/>
      <c r="G63" s="83"/>
      <c r="H63" s="83"/>
      <c r="I63" s="68" t="s">
        <v>606</v>
      </c>
      <c r="J63" s="68"/>
      <c r="K63" s="68"/>
    </row>
    <row r="64" customFormat="false" ht="21.75" hidden="false" customHeight="true" outlineLevel="0" collapsed="false">
      <c r="A64" s="95" t="s">
        <v>566</v>
      </c>
      <c r="B64" s="81" t="s">
        <v>607</v>
      </c>
      <c r="C64" s="81"/>
      <c r="D64" s="81"/>
      <c r="E64" s="81"/>
      <c r="F64" s="81"/>
      <c r="G64" s="81"/>
      <c r="H64" s="81"/>
      <c r="I64" s="73" t="s">
        <v>608</v>
      </c>
      <c r="J64" s="73"/>
      <c r="K64" s="73"/>
    </row>
    <row r="65" customFormat="false" ht="21.75" hidden="false" customHeight="true" outlineLevel="0" collapsed="false">
      <c r="A65" s="96" t="s">
        <v>573</v>
      </c>
      <c r="B65" s="83" t="s">
        <v>609</v>
      </c>
      <c r="C65" s="83"/>
      <c r="D65" s="83"/>
      <c r="E65" s="83"/>
      <c r="F65" s="83"/>
      <c r="G65" s="83"/>
      <c r="H65" s="83"/>
      <c r="I65" s="68" t="s">
        <v>610</v>
      </c>
      <c r="J65" s="68"/>
      <c r="K65" s="68"/>
    </row>
    <row r="66" customFormat="false" ht="21.75" hidden="false" customHeight="true" outlineLevel="0" collapsed="false">
      <c r="A66" s="95" t="s">
        <v>583</v>
      </c>
      <c r="B66" s="81" t="s">
        <v>611</v>
      </c>
      <c r="C66" s="81"/>
      <c r="D66" s="81"/>
      <c r="E66" s="81"/>
      <c r="F66" s="81"/>
      <c r="G66" s="81"/>
      <c r="H66" s="81"/>
      <c r="I66" s="73" t="s">
        <v>612</v>
      </c>
      <c r="J66" s="73"/>
      <c r="K66" s="73"/>
    </row>
    <row r="67" customFormat="false" ht="21.75" hidden="false" customHeight="true" outlineLevel="0" collapsed="false">
      <c r="A67" s="96" t="s">
        <v>593</v>
      </c>
      <c r="B67" s="83" t="s">
        <v>613</v>
      </c>
      <c r="C67" s="83"/>
      <c r="D67" s="83"/>
      <c r="E67" s="83"/>
      <c r="F67" s="83"/>
      <c r="G67" s="83"/>
      <c r="H67" s="83"/>
      <c r="I67" s="68" t="s">
        <v>614</v>
      </c>
      <c r="J67" s="68"/>
      <c r="K67" s="68"/>
    </row>
    <row r="68" customFormat="false" ht="21.75" hidden="false" customHeight="true" outlineLevel="0" collapsed="false">
      <c r="A68" s="95" t="s">
        <v>600</v>
      </c>
      <c r="B68" s="81" t="s">
        <v>615</v>
      </c>
      <c r="C68" s="81"/>
      <c r="D68" s="81"/>
      <c r="E68" s="81"/>
      <c r="F68" s="81"/>
      <c r="G68" s="81"/>
      <c r="H68" s="81"/>
      <c r="I68" s="73" t="s">
        <v>616</v>
      </c>
      <c r="J68" s="73"/>
      <c r="K68" s="73"/>
    </row>
  </sheetData>
  <mergeCells count="63">
    <mergeCell ref="A1:K1"/>
    <mergeCell ref="A3:K3"/>
    <mergeCell ref="A37:K37"/>
    <mergeCell ref="B38:D38"/>
    <mergeCell ref="E38:I38"/>
    <mergeCell ref="B39:D39"/>
    <mergeCell ref="E39:I39"/>
    <mergeCell ref="B40:D40"/>
    <mergeCell ref="E40:I40"/>
    <mergeCell ref="B41:D41"/>
    <mergeCell ref="E41:I4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47:D47"/>
    <mergeCell ref="E47:I47"/>
    <mergeCell ref="A50:K50"/>
    <mergeCell ref="B51:C51"/>
    <mergeCell ref="D51:E51"/>
    <mergeCell ref="F51:I51"/>
    <mergeCell ref="B52:C52"/>
    <mergeCell ref="D52:E52"/>
    <mergeCell ref="F52:I52"/>
    <mergeCell ref="B53:C53"/>
    <mergeCell ref="D53:E53"/>
    <mergeCell ref="F53:I53"/>
    <mergeCell ref="B54:C54"/>
    <mergeCell ref="D54:E54"/>
    <mergeCell ref="F54:I54"/>
    <mergeCell ref="B55:C55"/>
    <mergeCell ref="D55:E55"/>
    <mergeCell ref="F55:I55"/>
    <mergeCell ref="B56:C56"/>
    <mergeCell ref="D56:E56"/>
    <mergeCell ref="F56:I56"/>
    <mergeCell ref="B57:C57"/>
    <mergeCell ref="D57:E57"/>
    <mergeCell ref="F57:I57"/>
    <mergeCell ref="B58:C58"/>
    <mergeCell ref="D58:E58"/>
    <mergeCell ref="F58:I58"/>
    <mergeCell ref="A61:K61"/>
    <mergeCell ref="B62:H62"/>
    <mergeCell ref="I62:K62"/>
    <mergeCell ref="B63:H63"/>
    <mergeCell ref="I63:K63"/>
    <mergeCell ref="B64:H64"/>
    <mergeCell ref="I64:K64"/>
    <mergeCell ref="B65:H65"/>
    <mergeCell ref="I65:K65"/>
    <mergeCell ref="B66:H66"/>
    <mergeCell ref="I66:K66"/>
    <mergeCell ref="B67:H67"/>
    <mergeCell ref="I67:K67"/>
    <mergeCell ref="B68:H68"/>
    <mergeCell ref="I68:K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5" min="4" style="1" width="13"/>
    <col collapsed="false" customWidth="true" hidden="false" outlineLevel="0" max="7" min="6" style="1" width="10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8"/>
  </cols>
  <sheetData>
    <row r="1" customFormat="false" ht="30" hidden="false" customHeight="true" outlineLevel="0" collapsed="false">
      <c r="A1" s="65" t="s">
        <v>617</v>
      </c>
      <c r="B1" s="65"/>
      <c r="C1" s="65"/>
      <c r="D1" s="65"/>
      <c r="E1" s="65"/>
      <c r="F1" s="65"/>
      <c r="G1" s="65"/>
      <c r="H1" s="65"/>
      <c r="I1" s="65"/>
      <c r="J1" s="65"/>
    </row>
    <row r="3" customFormat="false" ht="21.75" hidden="false" customHeight="true" outlineLevel="0" collapsed="false">
      <c r="A3" s="66" t="s">
        <v>618</v>
      </c>
      <c r="B3" s="66"/>
      <c r="C3" s="66"/>
      <c r="D3" s="66"/>
      <c r="E3" s="66"/>
      <c r="F3" s="66"/>
      <c r="G3" s="66"/>
      <c r="H3" s="66"/>
      <c r="I3" s="66"/>
      <c r="J3" s="66"/>
    </row>
    <row r="4" customFormat="false" ht="27.75" hidden="false" customHeight="true" outlineLevel="0" collapsed="false">
      <c r="A4" s="113" t="s">
        <v>619</v>
      </c>
      <c r="B4" s="113"/>
      <c r="C4" s="113"/>
      <c r="D4" s="113"/>
      <c r="E4" s="113"/>
      <c r="F4" s="113"/>
      <c r="G4" s="113"/>
      <c r="H4" s="113"/>
      <c r="I4" s="113"/>
      <c r="J4" s="113"/>
    </row>
    <row r="5" customFormat="false" ht="27.75" hidden="false" customHeight="true" outlineLevel="0" collapsed="false">
      <c r="A5" s="67" t="s">
        <v>163</v>
      </c>
      <c r="B5" s="67" t="s">
        <v>620</v>
      </c>
      <c r="C5" s="67" t="s">
        <v>57</v>
      </c>
      <c r="D5" s="67" t="s">
        <v>3</v>
      </c>
      <c r="E5" s="67" t="s">
        <v>58</v>
      </c>
      <c r="F5" s="67" t="s">
        <v>359</v>
      </c>
      <c r="G5" s="67" t="s">
        <v>60</v>
      </c>
      <c r="H5" s="67" t="s">
        <v>61</v>
      </c>
      <c r="I5" s="67" t="s">
        <v>552</v>
      </c>
      <c r="J5" s="67" t="s">
        <v>621</v>
      </c>
    </row>
    <row r="6" customFormat="false" ht="15" hidden="false" customHeight="true" outlineLevel="0" collapsed="false">
      <c r="A6" s="102" t="s">
        <v>171</v>
      </c>
      <c r="B6" s="102" t="s">
        <v>236</v>
      </c>
      <c r="C6" s="102" t="s">
        <v>64</v>
      </c>
      <c r="D6" s="104" t="n">
        <v>261.96</v>
      </c>
      <c r="E6" s="104" t="n">
        <v>41.91</v>
      </c>
      <c r="F6" s="105" t="n">
        <v>2</v>
      </c>
      <c r="G6" s="128" t="n">
        <v>0</v>
      </c>
      <c r="H6" s="128" t="n">
        <v>0.16</v>
      </c>
      <c r="I6" s="102" t="s">
        <v>553</v>
      </c>
      <c r="J6" s="129" t="s">
        <v>622</v>
      </c>
    </row>
    <row r="7" customFormat="false" ht="15" hidden="false" customHeight="true" outlineLevel="0" collapsed="false">
      <c r="A7" s="97" t="s">
        <v>171</v>
      </c>
      <c r="B7" s="97" t="s">
        <v>236</v>
      </c>
      <c r="C7" s="97" t="s">
        <v>64</v>
      </c>
      <c r="D7" s="99" t="n">
        <v>731.94</v>
      </c>
      <c r="E7" s="99" t="n">
        <v>219.58</v>
      </c>
      <c r="F7" s="100" t="n">
        <v>3</v>
      </c>
      <c r="G7" s="130" t="n">
        <v>0</v>
      </c>
      <c r="H7" s="130" t="n">
        <v>0.3</v>
      </c>
      <c r="I7" s="97" t="s">
        <v>553</v>
      </c>
      <c r="J7" s="131" t="s">
        <v>622</v>
      </c>
    </row>
    <row r="8" customFormat="false" ht="15" hidden="false" customHeight="true" outlineLevel="0" collapsed="false">
      <c r="A8" s="102" t="s">
        <v>173</v>
      </c>
      <c r="B8" s="102" t="s">
        <v>238</v>
      </c>
      <c r="C8" s="102" t="s">
        <v>68</v>
      </c>
      <c r="D8" s="104" t="n">
        <v>14.62</v>
      </c>
      <c r="E8" s="104" t="n">
        <v>6.87</v>
      </c>
      <c r="F8" s="105" t="n">
        <v>2</v>
      </c>
      <c r="G8" s="128" t="n">
        <v>0</v>
      </c>
      <c r="H8" s="128" t="n">
        <v>0.47</v>
      </c>
      <c r="I8" s="102" t="s">
        <v>553</v>
      </c>
      <c r="J8" s="102" t="s">
        <v>623</v>
      </c>
    </row>
    <row r="9" customFormat="false" ht="15" hidden="false" customHeight="true" outlineLevel="0" collapsed="false">
      <c r="A9" s="97" t="s">
        <v>174</v>
      </c>
      <c r="B9" s="97" t="s">
        <v>239</v>
      </c>
      <c r="C9" s="97" t="s">
        <v>64</v>
      </c>
      <c r="D9" s="99" t="n">
        <v>957.58</v>
      </c>
      <c r="E9" s="99" t="n">
        <v>-383.03</v>
      </c>
      <c r="F9" s="100" t="n">
        <v>5</v>
      </c>
      <c r="G9" s="130" t="n">
        <v>0.45</v>
      </c>
      <c r="H9" s="130" t="n">
        <v>-0.4</v>
      </c>
      <c r="I9" s="97" t="s">
        <v>554</v>
      </c>
      <c r="J9" s="131" t="s">
        <v>622</v>
      </c>
    </row>
    <row r="10" customFormat="false" ht="15" hidden="false" customHeight="true" outlineLevel="0" collapsed="false">
      <c r="A10" s="102" t="s">
        <v>174</v>
      </c>
      <c r="B10" s="102" t="s">
        <v>239</v>
      </c>
      <c r="C10" s="102" t="s">
        <v>64</v>
      </c>
      <c r="D10" s="104" t="n">
        <v>22.37</v>
      </c>
      <c r="E10" s="104" t="n">
        <v>2.52</v>
      </c>
      <c r="F10" s="105" t="n">
        <v>2</v>
      </c>
      <c r="G10" s="128" t="n">
        <v>0.2</v>
      </c>
      <c r="H10" s="128" t="n">
        <v>0.1125</v>
      </c>
      <c r="I10" s="102" t="s">
        <v>554</v>
      </c>
      <c r="J10" s="102" t="s">
        <v>623</v>
      </c>
    </row>
    <row r="11" customFormat="false" ht="15" hidden="false" customHeight="true" outlineLevel="0" collapsed="false">
      <c r="A11" s="97" t="s">
        <v>176</v>
      </c>
      <c r="B11" s="97" t="s">
        <v>240</v>
      </c>
      <c r="C11" s="97" t="s">
        <v>68</v>
      </c>
      <c r="D11" s="99" t="n">
        <v>48.86</v>
      </c>
      <c r="E11" s="99" t="n">
        <v>14.17</v>
      </c>
      <c r="F11" s="100" t="n">
        <v>7</v>
      </c>
      <c r="G11" s="130" t="n">
        <v>0</v>
      </c>
      <c r="H11" s="130" t="n">
        <v>0.29</v>
      </c>
      <c r="I11" s="97" t="s">
        <v>554</v>
      </c>
      <c r="J11" s="97" t="s">
        <v>623</v>
      </c>
    </row>
    <row r="12" customFormat="false" ht="15" hidden="false" customHeight="true" outlineLevel="0" collapsed="false">
      <c r="A12" s="102" t="s">
        <v>176</v>
      </c>
      <c r="B12" s="102" t="s">
        <v>240</v>
      </c>
      <c r="C12" s="102" t="s">
        <v>68</v>
      </c>
      <c r="D12" s="104" t="n">
        <v>7.28</v>
      </c>
      <c r="E12" s="104" t="n">
        <v>1.97</v>
      </c>
      <c r="F12" s="105" t="n">
        <v>4</v>
      </c>
      <c r="G12" s="128" t="n">
        <v>0</v>
      </c>
      <c r="H12" s="128" t="n">
        <v>0.27</v>
      </c>
      <c r="I12" s="102" t="s">
        <v>554</v>
      </c>
      <c r="J12" s="102" t="s">
        <v>623</v>
      </c>
    </row>
    <row r="13" customFormat="false" ht="15" hidden="false" customHeight="true" outlineLevel="0" collapsed="false">
      <c r="A13" s="97" t="s">
        <v>176</v>
      </c>
      <c r="B13" s="97" t="s">
        <v>240</v>
      </c>
      <c r="C13" s="97" t="s">
        <v>68</v>
      </c>
      <c r="D13" s="99" t="n">
        <v>907.15</v>
      </c>
      <c r="E13" s="99" t="n">
        <v>90.72</v>
      </c>
      <c r="F13" s="100" t="n">
        <v>6</v>
      </c>
      <c r="G13" s="130" t="n">
        <v>0.2</v>
      </c>
      <c r="H13" s="130" t="n">
        <v>0.1</v>
      </c>
      <c r="I13" s="97" t="s">
        <v>554</v>
      </c>
      <c r="J13" s="131" t="s">
        <v>622</v>
      </c>
    </row>
    <row r="14" customFormat="false" ht="15" hidden="false" customHeight="true" outlineLevel="0" collapsed="false">
      <c r="A14" s="102" t="s">
        <v>176</v>
      </c>
      <c r="B14" s="102" t="s">
        <v>240</v>
      </c>
      <c r="C14" s="102" t="s">
        <v>68</v>
      </c>
      <c r="D14" s="104" t="n">
        <v>18.5</v>
      </c>
      <c r="E14" s="104" t="n">
        <v>5.78</v>
      </c>
      <c r="F14" s="105" t="n">
        <v>3</v>
      </c>
      <c r="G14" s="128" t="n">
        <v>0.2</v>
      </c>
      <c r="H14" s="128" t="n">
        <v>0.3125</v>
      </c>
      <c r="I14" s="102" t="s">
        <v>554</v>
      </c>
      <c r="J14" s="102" t="s">
        <v>623</v>
      </c>
    </row>
    <row r="15" customFormat="false" ht="15" hidden="false" customHeight="true" outlineLevel="0" collapsed="false">
      <c r="A15" s="97" t="s">
        <v>176</v>
      </c>
      <c r="B15" s="97" t="s">
        <v>240</v>
      </c>
      <c r="C15" s="97" t="s">
        <v>68</v>
      </c>
      <c r="D15" s="99" t="n">
        <v>114.9</v>
      </c>
      <c r="E15" s="99" t="n">
        <v>34.47</v>
      </c>
      <c r="F15" s="100" t="n">
        <v>5</v>
      </c>
      <c r="G15" s="130" t="n">
        <v>0</v>
      </c>
      <c r="H15" s="130" t="n">
        <v>0.3</v>
      </c>
      <c r="I15" s="97" t="s">
        <v>554</v>
      </c>
      <c r="J15" s="97" t="s">
        <v>623</v>
      </c>
    </row>
    <row r="16" customFormat="false" ht="15" hidden="false" customHeight="true" outlineLevel="0" collapsed="false">
      <c r="A16" s="102" t="s">
        <v>176</v>
      </c>
      <c r="B16" s="102" t="s">
        <v>240</v>
      </c>
      <c r="C16" s="102" t="s">
        <v>68</v>
      </c>
      <c r="D16" s="104" t="n">
        <v>1706.18</v>
      </c>
      <c r="E16" s="104" t="n">
        <v>85.31</v>
      </c>
      <c r="F16" s="105" t="n">
        <v>9</v>
      </c>
      <c r="G16" s="128" t="n">
        <v>0.2</v>
      </c>
      <c r="H16" s="128" t="n">
        <v>0.05</v>
      </c>
      <c r="I16" s="102" t="s">
        <v>554</v>
      </c>
      <c r="J16" s="102" t="s">
        <v>65</v>
      </c>
    </row>
    <row r="17" customFormat="false" ht="15" hidden="false" customHeight="true" outlineLevel="0" collapsed="false">
      <c r="A17" s="97" t="s">
        <v>176</v>
      </c>
      <c r="B17" s="97" t="s">
        <v>240</v>
      </c>
      <c r="C17" s="97" t="s">
        <v>68</v>
      </c>
      <c r="D17" s="99" t="n">
        <v>911.42</v>
      </c>
      <c r="E17" s="99" t="n">
        <v>68.36</v>
      </c>
      <c r="F17" s="100" t="n">
        <v>4</v>
      </c>
      <c r="G17" s="130" t="n">
        <v>0.2</v>
      </c>
      <c r="H17" s="130" t="n">
        <v>0.075</v>
      </c>
      <c r="I17" s="97" t="s">
        <v>554</v>
      </c>
      <c r="J17" s="131" t="s">
        <v>622</v>
      </c>
    </row>
    <row r="18" customFormat="false" ht="15" hidden="false" customHeight="true" outlineLevel="0" collapsed="false">
      <c r="A18" s="102" t="s">
        <v>177</v>
      </c>
      <c r="B18" s="102" t="s">
        <v>241</v>
      </c>
      <c r="C18" s="102" t="s">
        <v>64</v>
      </c>
      <c r="D18" s="104" t="n">
        <v>15.55</v>
      </c>
      <c r="E18" s="104" t="n">
        <v>5.44</v>
      </c>
      <c r="F18" s="105" t="n">
        <v>3</v>
      </c>
      <c r="G18" s="128" t="n">
        <v>0.2</v>
      </c>
      <c r="H18" s="128" t="n">
        <v>0.35</v>
      </c>
      <c r="I18" s="102" t="s">
        <v>554</v>
      </c>
      <c r="J18" s="102" t="s">
        <v>623</v>
      </c>
    </row>
    <row r="19" customFormat="false" ht="15" hidden="false" customHeight="true" outlineLevel="0" collapsed="false">
      <c r="A19" s="97" t="s">
        <v>178</v>
      </c>
      <c r="B19" s="97" t="s">
        <v>242</v>
      </c>
      <c r="C19" s="97" t="s">
        <v>68</v>
      </c>
      <c r="D19" s="99" t="n">
        <v>407.98</v>
      </c>
      <c r="E19" s="99" t="n">
        <v>132.59</v>
      </c>
      <c r="F19" s="100" t="n">
        <v>3</v>
      </c>
      <c r="G19" s="130" t="n">
        <v>0.2</v>
      </c>
      <c r="H19" s="130" t="n">
        <v>0.325</v>
      </c>
      <c r="I19" s="97" t="s">
        <v>554</v>
      </c>
      <c r="J19" s="131" t="s">
        <v>622</v>
      </c>
    </row>
    <row r="20" customFormat="false" ht="15" hidden="false" customHeight="true" outlineLevel="0" collapsed="false">
      <c r="A20" s="102" t="s">
        <v>179</v>
      </c>
      <c r="B20" s="102" t="s">
        <v>243</v>
      </c>
      <c r="C20" s="102" t="s">
        <v>67</v>
      </c>
      <c r="D20" s="104" t="n">
        <v>68.81</v>
      </c>
      <c r="E20" s="104" t="n">
        <v>-123.86</v>
      </c>
      <c r="F20" s="105" t="n">
        <v>5</v>
      </c>
      <c r="G20" s="128" t="n">
        <v>0.8</v>
      </c>
      <c r="H20" s="128" t="n">
        <v>-1.8</v>
      </c>
      <c r="I20" s="102" t="s">
        <v>554</v>
      </c>
      <c r="J20" s="102" t="s">
        <v>623</v>
      </c>
    </row>
    <row r="21" customFormat="false" ht="15" hidden="false" customHeight="true" outlineLevel="0" collapsed="false">
      <c r="A21" s="97" t="s">
        <v>179</v>
      </c>
      <c r="B21" s="97" t="s">
        <v>243</v>
      </c>
      <c r="C21" s="97" t="s">
        <v>67</v>
      </c>
      <c r="D21" s="99" t="n">
        <v>2.54</v>
      </c>
      <c r="E21" s="99" t="n">
        <v>-3.82</v>
      </c>
      <c r="F21" s="100" t="n">
        <v>3</v>
      </c>
      <c r="G21" s="130" t="n">
        <v>0.8</v>
      </c>
      <c r="H21" s="130" t="n">
        <v>-1.5</v>
      </c>
      <c r="I21" s="97" t="s">
        <v>554</v>
      </c>
      <c r="J21" s="97" t="s">
        <v>623</v>
      </c>
    </row>
    <row r="22" customFormat="false" ht="15" hidden="false" customHeight="true" outlineLevel="0" collapsed="false">
      <c r="A22" s="102" t="s">
        <v>180</v>
      </c>
      <c r="B22" s="102" t="s">
        <v>244</v>
      </c>
      <c r="C22" s="102" t="s">
        <v>67</v>
      </c>
      <c r="D22" s="104" t="n">
        <v>665.88</v>
      </c>
      <c r="E22" s="104" t="n">
        <v>13.32</v>
      </c>
      <c r="F22" s="105" t="n">
        <v>6</v>
      </c>
      <c r="G22" s="128" t="n">
        <v>0</v>
      </c>
      <c r="H22" s="128" t="n">
        <v>0.02</v>
      </c>
      <c r="I22" s="102" t="s">
        <v>554</v>
      </c>
      <c r="J22" s="129" t="s">
        <v>622</v>
      </c>
    </row>
    <row r="23" customFormat="false" ht="15" hidden="false" customHeight="true" outlineLevel="0" collapsed="false">
      <c r="A23" s="97" t="s">
        <v>181</v>
      </c>
      <c r="B23" s="97" t="s">
        <v>245</v>
      </c>
      <c r="C23" s="97" t="s">
        <v>68</v>
      </c>
      <c r="D23" s="99" t="n">
        <v>55.5</v>
      </c>
      <c r="E23" s="99" t="n">
        <v>9.99</v>
      </c>
      <c r="F23" s="100" t="n">
        <v>2</v>
      </c>
      <c r="G23" s="130" t="n">
        <v>0</v>
      </c>
      <c r="H23" s="130" t="n">
        <v>0.18</v>
      </c>
      <c r="I23" s="97" t="s">
        <v>553</v>
      </c>
      <c r="J23" s="97" t="s">
        <v>623</v>
      </c>
    </row>
    <row r="24" customFormat="false" ht="15" hidden="false" customHeight="true" outlineLevel="0" collapsed="false">
      <c r="A24" s="102" t="s">
        <v>183</v>
      </c>
      <c r="B24" s="102" t="s">
        <v>246</v>
      </c>
      <c r="C24" s="102" t="s">
        <v>68</v>
      </c>
      <c r="D24" s="104" t="n">
        <v>8.56</v>
      </c>
      <c r="E24" s="104" t="n">
        <v>2.48</v>
      </c>
      <c r="F24" s="105" t="n">
        <v>2</v>
      </c>
      <c r="G24" s="128" t="n">
        <v>0</v>
      </c>
      <c r="H24" s="128" t="n">
        <v>0.29</v>
      </c>
      <c r="I24" s="102" t="s">
        <v>553</v>
      </c>
      <c r="J24" s="102" t="s">
        <v>623</v>
      </c>
    </row>
    <row r="25" customFormat="false" ht="15" hidden="false" customHeight="true" outlineLevel="0" collapsed="false">
      <c r="A25" s="97" t="s">
        <v>183</v>
      </c>
      <c r="B25" s="97" t="s">
        <v>246</v>
      </c>
      <c r="C25" s="97" t="s">
        <v>68</v>
      </c>
      <c r="D25" s="99" t="n">
        <v>213.48</v>
      </c>
      <c r="E25" s="99" t="n">
        <v>16.01</v>
      </c>
      <c r="F25" s="100" t="n">
        <v>3</v>
      </c>
      <c r="G25" s="130" t="n">
        <v>0.2</v>
      </c>
      <c r="H25" s="130" t="n">
        <v>0.075</v>
      </c>
      <c r="I25" s="97" t="s">
        <v>553</v>
      </c>
      <c r="J25" s="131" t="s">
        <v>622</v>
      </c>
    </row>
    <row r="26" customFormat="false" ht="15" hidden="false" customHeight="true" outlineLevel="0" collapsed="false">
      <c r="A26" s="102" t="s">
        <v>183</v>
      </c>
      <c r="B26" s="102" t="s">
        <v>246</v>
      </c>
      <c r="C26" s="102" t="s">
        <v>68</v>
      </c>
      <c r="D26" s="104" t="n">
        <v>22.72</v>
      </c>
      <c r="E26" s="104" t="n">
        <v>7.38</v>
      </c>
      <c r="F26" s="105" t="n">
        <v>4</v>
      </c>
      <c r="G26" s="128" t="n">
        <v>0.2</v>
      </c>
      <c r="H26" s="128" t="n">
        <v>0.325</v>
      </c>
      <c r="I26" s="102" t="s">
        <v>553</v>
      </c>
      <c r="J26" s="102" t="s">
        <v>623</v>
      </c>
    </row>
    <row r="27" customFormat="false" ht="15" hidden="false" customHeight="true" outlineLevel="0" collapsed="false">
      <c r="A27" s="97" t="s">
        <v>184</v>
      </c>
      <c r="B27" s="97" t="s">
        <v>247</v>
      </c>
      <c r="C27" s="97" t="s">
        <v>67</v>
      </c>
      <c r="D27" s="99" t="n">
        <v>19.46</v>
      </c>
      <c r="E27" s="99" t="n">
        <v>5.06</v>
      </c>
      <c r="F27" s="100" t="n">
        <v>7</v>
      </c>
      <c r="G27" s="130" t="n">
        <v>0</v>
      </c>
      <c r="H27" s="130" t="n">
        <v>0.26</v>
      </c>
      <c r="I27" s="97" t="s">
        <v>554</v>
      </c>
      <c r="J27" s="97" t="s">
        <v>623</v>
      </c>
    </row>
    <row r="28" customFormat="false" ht="15" hidden="false" customHeight="true" outlineLevel="0" collapsed="false">
      <c r="A28" s="102" t="s">
        <v>184</v>
      </c>
      <c r="B28" s="102" t="s">
        <v>247</v>
      </c>
      <c r="C28" s="102" t="s">
        <v>67</v>
      </c>
      <c r="D28" s="104" t="n">
        <v>60.34</v>
      </c>
      <c r="E28" s="104" t="n">
        <v>15.69</v>
      </c>
      <c r="F28" s="105" t="n">
        <v>7</v>
      </c>
      <c r="G28" s="128" t="n">
        <v>0</v>
      </c>
      <c r="H28" s="128" t="n">
        <v>0.26</v>
      </c>
      <c r="I28" s="102" t="s">
        <v>554</v>
      </c>
      <c r="J28" s="102" t="s">
        <v>623</v>
      </c>
    </row>
    <row r="29" customFormat="false" ht="15" hidden="false" customHeight="true" outlineLevel="0" collapsed="false">
      <c r="A29" s="97" t="s">
        <v>185</v>
      </c>
      <c r="B29" s="97" t="s">
        <v>248</v>
      </c>
      <c r="C29" s="97" t="s">
        <v>69</v>
      </c>
      <c r="D29" s="99" t="n">
        <v>71.37</v>
      </c>
      <c r="E29" s="99" t="n">
        <v>-1.02</v>
      </c>
      <c r="F29" s="100" t="n">
        <v>2</v>
      </c>
      <c r="G29" s="130" t="n">
        <v>0.3</v>
      </c>
      <c r="H29" s="130" t="n">
        <v>-0.0143</v>
      </c>
      <c r="I29" s="97" t="s">
        <v>553</v>
      </c>
      <c r="J29" s="97" t="s">
        <v>623</v>
      </c>
    </row>
    <row r="30" customFormat="false" ht="15" hidden="false" customHeight="true" outlineLevel="0" collapsed="false">
      <c r="A30" s="102" t="s">
        <v>186</v>
      </c>
      <c r="B30" s="102" t="s">
        <v>249</v>
      </c>
      <c r="C30" s="102" t="s">
        <v>68</v>
      </c>
      <c r="D30" s="104" t="n">
        <v>1044.63</v>
      </c>
      <c r="E30" s="104" t="n">
        <v>240.26</v>
      </c>
      <c r="F30" s="105" t="n">
        <v>3</v>
      </c>
      <c r="G30" s="128" t="n">
        <v>0</v>
      </c>
      <c r="H30" s="128" t="n">
        <v>0.23</v>
      </c>
      <c r="I30" s="102" t="s">
        <v>554</v>
      </c>
      <c r="J30" s="102" t="s">
        <v>65</v>
      </c>
    </row>
    <row r="31" customFormat="false" ht="15" hidden="false" customHeight="true" outlineLevel="0" collapsed="false">
      <c r="A31" s="97" t="s">
        <v>187</v>
      </c>
      <c r="B31" s="97" t="s">
        <v>250</v>
      </c>
      <c r="C31" s="97" t="s">
        <v>68</v>
      </c>
      <c r="D31" s="99" t="n">
        <v>11.65</v>
      </c>
      <c r="E31" s="99" t="n">
        <v>4.22</v>
      </c>
      <c r="F31" s="100" t="n">
        <v>2</v>
      </c>
      <c r="G31" s="130" t="n">
        <v>0.2</v>
      </c>
      <c r="H31" s="130" t="n">
        <v>0.3625</v>
      </c>
      <c r="I31" s="97" t="s">
        <v>553</v>
      </c>
      <c r="J31" s="97" t="s">
        <v>623</v>
      </c>
    </row>
    <row r="32" customFormat="false" ht="15" hidden="false" customHeight="true" outlineLevel="0" collapsed="false">
      <c r="A32" s="102" t="s">
        <v>187</v>
      </c>
      <c r="B32" s="102" t="s">
        <v>250</v>
      </c>
      <c r="C32" s="102" t="s">
        <v>68</v>
      </c>
      <c r="D32" s="104" t="n">
        <v>90.57</v>
      </c>
      <c r="E32" s="104" t="n">
        <v>11.77</v>
      </c>
      <c r="F32" s="105" t="n">
        <v>3</v>
      </c>
      <c r="G32" s="128" t="n">
        <v>0</v>
      </c>
      <c r="H32" s="128" t="n">
        <v>0.13</v>
      </c>
      <c r="I32" s="102" t="s">
        <v>553</v>
      </c>
      <c r="J32" s="102" t="s">
        <v>623</v>
      </c>
    </row>
    <row r="33" customFormat="false" ht="15" hidden="false" customHeight="true" outlineLevel="0" collapsed="false">
      <c r="A33" s="97" t="s">
        <v>188</v>
      </c>
      <c r="B33" s="97" t="s">
        <v>251</v>
      </c>
      <c r="C33" s="97" t="s">
        <v>69</v>
      </c>
      <c r="D33" s="99" t="n">
        <v>3083.43</v>
      </c>
      <c r="E33" s="99" t="n">
        <v>-1665.05</v>
      </c>
      <c r="F33" s="100" t="n">
        <v>7</v>
      </c>
      <c r="G33" s="130" t="n">
        <v>0.5</v>
      </c>
      <c r="H33" s="130" t="n">
        <v>-0.54</v>
      </c>
      <c r="I33" s="97" t="s">
        <v>554</v>
      </c>
      <c r="J33" s="97" t="s">
        <v>65</v>
      </c>
    </row>
    <row r="34" customFormat="false" ht="15" hidden="false" customHeight="true" outlineLevel="0" collapsed="false">
      <c r="A34" s="102" t="s">
        <v>188</v>
      </c>
      <c r="B34" s="102" t="s">
        <v>251</v>
      </c>
      <c r="C34" s="102" t="s">
        <v>69</v>
      </c>
      <c r="D34" s="104" t="n">
        <v>9.62</v>
      </c>
      <c r="E34" s="104" t="n">
        <v>-7.05</v>
      </c>
      <c r="F34" s="105" t="n">
        <v>2</v>
      </c>
      <c r="G34" s="128" t="n">
        <v>0.7</v>
      </c>
      <c r="H34" s="128" t="n">
        <v>-0.7333</v>
      </c>
      <c r="I34" s="102" t="s">
        <v>554</v>
      </c>
      <c r="J34" s="102" t="s">
        <v>623</v>
      </c>
    </row>
    <row r="35" customFormat="false" ht="15" hidden="false" customHeight="true" outlineLevel="0" collapsed="false">
      <c r="A35" s="97" t="s">
        <v>188</v>
      </c>
      <c r="B35" s="97" t="s">
        <v>251</v>
      </c>
      <c r="C35" s="97" t="s">
        <v>69</v>
      </c>
      <c r="D35" s="99" t="n">
        <v>124.2</v>
      </c>
      <c r="E35" s="99" t="n">
        <v>15.53</v>
      </c>
      <c r="F35" s="100" t="n">
        <v>3</v>
      </c>
      <c r="G35" s="130" t="n">
        <v>0.2</v>
      </c>
      <c r="H35" s="130" t="n">
        <v>0.125</v>
      </c>
      <c r="I35" s="97" t="s">
        <v>554</v>
      </c>
      <c r="J35" s="97" t="s">
        <v>623</v>
      </c>
    </row>
    <row r="37" customFormat="false" ht="7.5" hidden="false" customHeight="true" outlineLevel="0" collapsed="false">
      <c r="A37" s="124"/>
      <c r="B37" s="124"/>
      <c r="C37" s="124"/>
      <c r="D37" s="124"/>
      <c r="E37" s="124"/>
      <c r="F37" s="124"/>
      <c r="G37" s="124"/>
      <c r="H37" s="124"/>
      <c r="I37" s="124"/>
      <c r="J37" s="124"/>
    </row>
    <row r="38" customFormat="false" ht="21.75" hidden="false" customHeight="true" outlineLevel="0" collapsed="false">
      <c r="A38" s="93" t="s">
        <v>624</v>
      </c>
      <c r="B38" s="93"/>
      <c r="C38" s="93"/>
      <c r="D38" s="93"/>
      <c r="E38" s="93"/>
      <c r="F38" s="93"/>
      <c r="G38" s="93"/>
      <c r="H38" s="93"/>
      <c r="I38" s="93"/>
      <c r="J38" s="93"/>
    </row>
    <row r="39" customFormat="false" ht="27.75" hidden="false" customHeight="true" outlineLevel="0" collapsed="false">
      <c r="A39" s="94" t="s">
        <v>435</v>
      </c>
      <c r="B39" s="94" t="s">
        <v>625</v>
      </c>
      <c r="C39" s="94" t="s">
        <v>626</v>
      </c>
      <c r="D39" s="94" t="s">
        <v>436</v>
      </c>
      <c r="E39" s="94"/>
      <c r="F39" s="94"/>
      <c r="G39" s="94"/>
      <c r="H39" s="94"/>
      <c r="I39" s="94"/>
      <c r="J39" s="94"/>
    </row>
    <row r="40" customFormat="false" ht="54.75" hidden="false" customHeight="true" outlineLevel="0" collapsed="false">
      <c r="A40" s="95" t="s">
        <v>627</v>
      </c>
      <c r="B40" s="74" t="s">
        <v>628</v>
      </c>
      <c r="C40" s="74" t="s">
        <v>629</v>
      </c>
      <c r="D40" s="73" t="s">
        <v>630</v>
      </c>
      <c r="E40" s="73"/>
      <c r="F40" s="73"/>
      <c r="G40" s="73"/>
      <c r="H40" s="73"/>
      <c r="I40" s="73"/>
      <c r="J40" s="73"/>
    </row>
    <row r="41" customFormat="false" ht="54.75" hidden="false" customHeight="true" outlineLevel="0" collapsed="false">
      <c r="A41" s="96" t="s">
        <v>631</v>
      </c>
      <c r="B41" s="69" t="s">
        <v>628</v>
      </c>
      <c r="C41" s="69" t="s">
        <v>632</v>
      </c>
      <c r="D41" s="68" t="s">
        <v>633</v>
      </c>
      <c r="E41" s="68"/>
      <c r="F41" s="68"/>
      <c r="G41" s="68"/>
      <c r="H41" s="68"/>
      <c r="I41" s="68"/>
      <c r="J41" s="68"/>
    </row>
    <row r="42" customFormat="false" ht="54.75" hidden="false" customHeight="true" outlineLevel="0" collapsed="false">
      <c r="A42" s="95" t="s">
        <v>634</v>
      </c>
      <c r="B42" s="74" t="s">
        <v>635</v>
      </c>
      <c r="C42" s="74" t="s">
        <v>636</v>
      </c>
      <c r="D42" s="73" t="s">
        <v>637</v>
      </c>
      <c r="E42" s="73"/>
      <c r="F42" s="73"/>
      <c r="G42" s="73"/>
      <c r="H42" s="73"/>
      <c r="I42" s="73"/>
      <c r="J42" s="73"/>
    </row>
    <row r="43" customFormat="false" ht="54.75" hidden="false" customHeight="true" outlineLevel="0" collapsed="false">
      <c r="A43" s="96" t="s">
        <v>638</v>
      </c>
      <c r="B43" s="69" t="s">
        <v>639</v>
      </c>
      <c r="C43" s="69" t="s">
        <v>640</v>
      </c>
      <c r="D43" s="68" t="s">
        <v>641</v>
      </c>
      <c r="E43" s="68"/>
      <c r="F43" s="68"/>
      <c r="G43" s="68"/>
      <c r="H43" s="68"/>
      <c r="I43" s="68"/>
      <c r="J43" s="68"/>
    </row>
    <row r="44" customFormat="false" ht="54.75" hidden="false" customHeight="true" outlineLevel="0" collapsed="false">
      <c r="A44" s="95" t="s">
        <v>642</v>
      </c>
      <c r="B44" s="74" t="s">
        <v>643</v>
      </c>
      <c r="C44" s="74" t="s">
        <v>644</v>
      </c>
      <c r="D44" s="73" t="s">
        <v>645</v>
      </c>
      <c r="E44" s="73"/>
      <c r="F44" s="73"/>
      <c r="G44" s="73"/>
      <c r="H44" s="73"/>
      <c r="I44" s="73"/>
      <c r="J44" s="73"/>
    </row>
    <row r="46" customFormat="false" ht="7.5" hidden="false" customHeight="true" outlineLevel="0" collapsed="false">
      <c r="A46" s="124"/>
      <c r="B46" s="124"/>
      <c r="C46" s="124"/>
      <c r="D46" s="124"/>
      <c r="E46" s="124"/>
      <c r="F46" s="124"/>
      <c r="G46" s="124"/>
      <c r="H46" s="124"/>
      <c r="I46" s="124"/>
      <c r="J46" s="124"/>
    </row>
    <row r="47" customFormat="false" ht="21.75" hidden="false" customHeight="true" outlineLevel="0" collapsed="false">
      <c r="A47" s="78" t="s">
        <v>646</v>
      </c>
      <c r="B47" s="78"/>
      <c r="C47" s="78"/>
      <c r="D47" s="78"/>
      <c r="E47" s="78"/>
      <c r="F47" s="78"/>
      <c r="G47" s="78"/>
      <c r="H47" s="78"/>
      <c r="I47" s="78"/>
      <c r="J47" s="78"/>
    </row>
    <row r="48" customFormat="false" ht="15" hidden="false" customHeight="true" outlineLevel="0" collapsed="false">
      <c r="A48" s="79" t="s">
        <v>647</v>
      </c>
      <c r="B48" s="79" t="s">
        <v>648</v>
      </c>
      <c r="C48" s="79"/>
      <c r="D48" s="79"/>
      <c r="E48" s="79"/>
      <c r="F48" s="79"/>
      <c r="G48" s="79" t="s">
        <v>649</v>
      </c>
      <c r="H48" s="79"/>
      <c r="I48" s="79"/>
      <c r="J48" s="79"/>
    </row>
    <row r="49" customFormat="false" ht="21.75" hidden="false" customHeight="true" outlineLevel="0" collapsed="false">
      <c r="A49" s="132" t="s">
        <v>65</v>
      </c>
      <c r="B49" s="133" t="s">
        <v>650</v>
      </c>
      <c r="C49" s="133"/>
      <c r="D49" s="133"/>
      <c r="E49" s="133"/>
      <c r="F49" s="133"/>
      <c r="G49" s="134" t="s">
        <v>651</v>
      </c>
      <c r="H49" s="134"/>
      <c r="I49" s="134"/>
      <c r="J49" s="134"/>
    </row>
    <row r="50" customFormat="false" ht="21.75" hidden="false" customHeight="true" outlineLevel="0" collapsed="false">
      <c r="A50" s="135" t="s">
        <v>622</v>
      </c>
      <c r="B50" s="136" t="s">
        <v>652</v>
      </c>
      <c r="C50" s="136"/>
      <c r="D50" s="136"/>
      <c r="E50" s="136"/>
      <c r="F50" s="136"/>
      <c r="G50" s="137" t="s">
        <v>653</v>
      </c>
      <c r="H50" s="137"/>
      <c r="I50" s="137"/>
      <c r="J50" s="137"/>
    </row>
    <row r="51" customFormat="false" ht="21.75" hidden="false" customHeight="true" outlineLevel="0" collapsed="false">
      <c r="A51" s="138" t="s">
        <v>623</v>
      </c>
      <c r="B51" s="139" t="s">
        <v>654</v>
      </c>
      <c r="C51" s="139"/>
      <c r="D51" s="139"/>
      <c r="E51" s="139"/>
      <c r="F51" s="139"/>
      <c r="G51" s="140" t="s">
        <v>655</v>
      </c>
      <c r="H51" s="140"/>
      <c r="I51" s="140"/>
      <c r="J51" s="140"/>
    </row>
  </sheetData>
  <mergeCells count="19">
    <mergeCell ref="A1:J1"/>
    <mergeCell ref="A3:J3"/>
    <mergeCell ref="A4:J4"/>
    <mergeCell ref="A38:J38"/>
    <mergeCell ref="D39:J39"/>
    <mergeCell ref="D40:J40"/>
    <mergeCell ref="D41:J41"/>
    <mergeCell ref="D42:J42"/>
    <mergeCell ref="D43:J43"/>
    <mergeCell ref="D44:J44"/>
    <mergeCell ref="A47:J47"/>
    <mergeCell ref="B48:F48"/>
    <mergeCell ref="G48:J48"/>
    <mergeCell ref="B49:F49"/>
    <mergeCell ref="G49:J49"/>
    <mergeCell ref="B50:F50"/>
    <mergeCell ref="G50:J50"/>
    <mergeCell ref="B51:F51"/>
    <mergeCell ref="G51:J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13" min="9" style="1" width="12"/>
    <col collapsed="false" customWidth="true" hidden="false" outlineLevel="0" max="14" min="14" style="1" width="14"/>
  </cols>
  <sheetData>
    <row r="1" customFormat="false" ht="30" hidden="false" customHeight="true" outlineLevel="0" collapsed="false">
      <c r="A1" s="65" t="s">
        <v>656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3" customFormat="false" ht="21.75" hidden="false" customHeight="true" outlineLevel="0" collapsed="false">
      <c r="A3" s="66" t="s">
        <v>657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customFormat="false" ht="21.75" hidden="false" customHeight="true" outlineLevel="0" collapsed="false">
      <c r="A4" s="67" t="s">
        <v>46</v>
      </c>
      <c r="B4" s="67" t="s">
        <v>5</v>
      </c>
      <c r="C4" s="67" t="s">
        <v>7</v>
      </c>
      <c r="D4" s="67" t="s">
        <v>9</v>
      </c>
      <c r="E4" s="67" t="s">
        <v>11</v>
      </c>
      <c r="F4" s="67" t="s">
        <v>13</v>
      </c>
      <c r="G4" s="67" t="s">
        <v>15</v>
      </c>
      <c r="H4" s="67" t="s">
        <v>17</v>
      </c>
      <c r="I4" s="67" t="s">
        <v>19</v>
      </c>
      <c r="J4" s="67" t="s">
        <v>21</v>
      </c>
      <c r="K4" s="67" t="s">
        <v>22</v>
      </c>
      <c r="L4" s="67" t="s">
        <v>23</v>
      </c>
      <c r="M4" s="67" t="s">
        <v>24</v>
      </c>
      <c r="N4" s="94" t="s">
        <v>658</v>
      </c>
    </row>
    <row r="5" customFormat="false" ht="15" hidden="false" customHeight="true" outlineLevel="0" collapsed="false">
      <c r="A5" s="96" t="n">
        <v>2014</v>
      </c>
      <c r="B5" s="99" t="n">
        <v>14236.9</v>
      </c>
      <c r="C5" s="99" t="n">
        <v>4519.89</v>
      </c>
      <c r="D5" s="99" t="n">
        <v>55691.01</v>
      </c>
      <c r="E5" s="99" t="n">
        <v>28295.34</v>
      </c>
      <c r="F5" s="99" t="n">
        <v>23648.29</v>
      </c>
      <c r="G5" s="99" t="n">
        <v>34595.13</v>
      </c>
      <c r="H5" s="99" t="n">
        <v>33946.39</v>
      </c>
      <c r="I5" s="99" t="n">
        <v>27909.47</v>
      </c>
      <c r="J5" s="99" t="n">
        <v>81777.35</v>
      </c>
      <c r="K5" s="99" t="n">
        <v>31453.39</v>
      </c>
      <c r="L5" s="99" t="n">
        <v>78628.72</v>
      </c>
      <c r="M5" s="99" t="n">
        <v>69545.62</v>
      </c>
      <c r="N5" s="92" t="n">
        <f aca="false">SUM(B5:M5)</f>
        <v>484247.5</v>
      </c>
    </row>
    <row r="6" customFormat="false" ht="15" hidden="false" customHeight="true" outlineLevel="0" collapsed="false">
      <c r="A6" s="95" t="n">
        <v>2015</v>
      </c>
      <c r="B6" s="104" t="n">
        <v>18174.08</v>
      </c>
      <c r="C6" s="104" t="n">
        <v>11951.41</v>
      </c>
      <c r="D6" s="104" t="n">
        <v>38726.25</v>
      </c>
      <c r="E6" s="104" t="n">
        <v>34195.21</v>
      </c>
      <c r="F6" s="104" t="n">
        <v>30131.69</v>
      </c>
      <c r="G6" s="104" t="n">
        <v>24797.29</v>
      </c>
      <c r="H6" s="104" t="n">
        <v>28765.32</v>
      </c>
      <c r="I6" s="104" t="n">
        <v>36898.33</v>
      </c>
      <c r="J6" s="104" t="n">
        <v>64595.92</v>
      </c>
      <c r="K6" s="104" t="n">
        <v>31404.92</v>
      </c>
      <c r="L6" s="104" t="n">
        <v>75972.56</v>
      </c>
      <c r="M6" s="104" t="n">
        <v>74919.52</v>
      </c>
      <c r="N6" s="91" t="n">
        <f aca="false">SUM(B6:M6)</f>
        <v>470532.5</v>
      </c>
    </row>
    <row r="7" customFormat="false" ht="15" hidden="false" customHeight="true" outlineLevel="0" collapsed="false">
      <c r="A7" s="96" t="n">
        <v>2016</v>
      </c>
      <c r="B7" s="99" t="n">
        <v>18542.49</v>
      </c>
      <c r="C7" s="99" t="n">
        <v>22978.82</v>
      </c>
      <c r="D7" s="99" t="n">
        <v>51715.88</v>
      </c>
      <c r="E7" s="99" t="n">
        <v>38750.04</v>
      </c>
      <c r="F7" s="99" t="n">
        <v>56987.73</v>
      </c>
      <c r="G7" s="99" t="n">
        <v>40344.53</v>
      </c>
      <c r="H7" s="99" t="n">
        <v>39261.96</v>
      </c>
      <c r="I7" s="99" t="n">
        <v>31115.37</v>
      </c>
      <c r="J7" s="99" t="n">
        <v>73410.02</v>
      </c>
      <c r="K7" s="99" t="n">
        <v>59687.74</v>
      </c>
      <c r="L7" s="99" t="n">
        <v>79411.97</v>
      </c>
      <c r="M7" s="99" t="n">
        <v>96999.04</v>
      </c>
      <c r="N7" s="92" t="n">
        <f aca="false">SUM(B7:M7)</f>
        <v>609205.59</v>
      </c>
    </row>
    <row r="8" customFormat="false" ht="15" hidden="false" customHeight="true" outlineLevel="0" collapsed="false">
      <c r="A8" s="95" t="n">
        <v>2017</v>
      </c>
      <c r="B8" s="104" t="n">
        <v>43971.37</v>
      </c>
      <c r="C8" s="104" t="n">
        <v>20301.13</v>
      </c>
      <c r="D8" s="104" t="n">
        <v>58872.35</v>
      </c>
      <c r="E8" s="104" t="n">
        <v>36521.54</v>
      </c>
      <c r="F8" s="104" t="n">
        <v>44261.11</v>
      </c>
      <c r="G8" s="104" t="n">
        <v>52981.73</v>
      </c>
      <c r="H8" s="104" t="n">
        <v>45264.42</v>
      </c>
      <c r="I8" s="104" t="n">
        <v>63120.89</v>
      </c>
      <c r="J8" s="104" t="n">
        <v>87866.65</v>
      </c>
      <c r="K8" s="104" t="n">
        <v>77776.92</v>
      </c>
      <c r="L8" s="104" t="n">
        <v>118447.82</v>
      </c>
      <c r="M8" s="104" t="n">
        <v>83829.32</v>
      </c>
      <c r="N8" s="91" t="n">
        <f aca="false">SUM(B8:M8)</f>
        <v>733215.25</v>
      </c>
    </row>
    <row r="9" customFormat="false" ht="21.75" hidden="false" customHeight="true" outlineLevel="0" collapsed="false">
      <c r="A9" s="94" t="s">
        <v>659</v>
      </c>
      <c r="B9" s="141" t="n">
        <f aca="false">SUM(B5:B8)</f>
        <v>94924.84</v>
      </c>
      <c r="C9" s="141" t="n">
        <f aca="false">SUM(C5:C8)</f>
        <v>59751.25</v>
      </c>
      <c r="D9" s="141" t="n">
        <f aca="false">SUM(D5:D8)</f>
        <v>205005.49</v>
      </c>
      <c r="E9" s="141" t="n">
        <f aca="false">SUM(E5:E8)</f>
        <v>137762.13</v>
      </c>
      <c r="F9" s="141" t="n">
        <f aca="false">SUM(F5:F8)</f>
        <v>155028.82</v>
      </c>
      <c r="G9" s="141" t="n">
        <f aca="false">SUM(G5:G8)</f>
        <v>152718.68</v>
      </c>
      <c r="H9" s="141" t="n">
        <f aca="false">SUM(H5:H8)</f>
        <v>147238.09</v>
      </c>
      <c r="I9" s="141" t="n">
        <f aca="false">SUM(I5:I8)</f>
        <v>159044.06</v>
      </c>
      <c r="J9" s="141" t="n">
        <f aca="false">SUM(J5:J8)</f>
        <v>307649.94</v>
      </c>
      <c r="K9" s="141" t="n">
        <f aca="false">SUM(K5:K8)</f>
        <v>200322.97</v>
      </c>
      <c r="L9" s="141" t="n">
        <f aca="false">SUM(L5:L8)</f>
        <v>352461.07</v>
      </c>
      <c r="M9" s="141" t="n">
        <f aca="false">SUM(M5:M8)</f>
        <v>325293.5</v>
      </c>
      <c r="N9" s="141" t="n">
        <f aca="false">SUM(N5:N8)</f>
        <v>2297200.84</v>
      </c>
    </row>
    <row r="10" customFormat="false" ht="7.5" hidden="false" customHeight="true" outlineLevel="0" collapsed="false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</row>
    <row r="11" customFormat="false" ht="21.75" hidden="false" customHeight="true" outlineLevel="0" collapsed="false">
      <c r="A11" s="78" t="s">
        <v>660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</row>
    <row r="12" customFormat="false" ht="21.75" hidden="false" customHeight="true" outlineLevel="0" collapsed="false">
      <c r="A12" s="79" t="s">
        <v>29</v>
      </c>
      <c r="B12" s="79" t="s">
        <v>67</v>
      </c>
      <c r="C12" s="79" t="s">
        <v>69</v>
      </c>
      <c r="D12" s="79" t="s">
        <v>64</v>
      </c>
      <c r="E12" s="79" t="s">
        <v>68</v>
      </c>
      <c r="F12" s="94" t="s">
        <v>661</v>
      </c>
      <c r="G12" s="94" t="s">
        <v>662</v>
      </c>
      <c r="H12" s="142" t="s">
        <v>663</v>
      </c>
      <c r="I12" s="142"/>
      <c r="J12" s="142"/>
      <c r="K12" s="142"/>
      <c r="L12" s="142"/>
      <c r="M12" s="142"/>
      <c r="N12" s="142"/>
    </row>
    <row r="13" customFormat="false" ht="21.75" hidden="false" customHeight="true" outlineLevel="0" collapsed="false">
      <c r="A13" s="82" t="s">
        <v>237</v>
      </c>
      <c r="B13" s="99" t="n">
        <v>163797.16</v>
      </c>
      <c r="C13" s="99" t="n">
        <v>208291.2</v>
      </c>
      <c r="D13" s="99" t="n">
        <v>117298.68</v>
      </c>
      <c r="E13" s="99" t="n">
        <v>252612.74</v>
      </c>
      <c r="F13" s="141" t="n">
        <f aca="false">SUM(B13:E13)</f>
        <v>741999.78</v>
      </c>
      <c r="G13" s="143" t="n">
        <f aca="false">F13/F16</f>
        <v>0.323001700090787</v>
      </c>
      <c r="H13" s="144" t="s">
        <v>664</v>
      </c>
      <c r="I13" s="144"/>
      <c r="J13" s="144"/>
      <c r="K13" s="144"/>
      <c r="L13" s="144"/>
      <c r="M13" s="144"/>
      <c r="N13" s="144"/>
    </row>
    <row r="14" customFormat="false" ht="21.75" hidden="false" customHeight="true" outlineLevel="0" collapsed="false">
      <c r="A14" s="80" t="s">
        <v>32</v>
      </c>
      <c r="B14" s="104" t="n">
        <v>167026.42</v>
      </c>
      <c r="C14" s="104" t="n">
        <v>205516.06</v>
      </c>
      <c r="D14" s="104" t="n">
        <v>125651.31</v>
      </c>
      <c r="E14" s="104" t="n">
        <v>220853.25</v>
      </c>
      <c r="F14" s="141" t="n">
        <f aca="false">SUM(B14:E14)</f>
        <v>719047.04</v>
      </c>
      <c r="G14" s="143" t="n">
        <f aca="false">F14/F16</f>
        <v>0.313010087907638</v>
      </c>
      <c r="H14" s="145" t="s">
        <v>665</v>
      </c>
      <c r="I14" s="145"/>
      <c r="J14" s="145"/>
      <c r="K14" s="145"/>
      <c r="L14" s="145"/>
      <c r="M14" s="145"/>
      <c r="N14" s="145"/>
    </row>
    <row r="15" customFormat="false" ht="21.75" hidden="false" customHeight="true" outlineLevel="0" collapsed="false">
      <c r="A15" s="82" t="s">
        <v>37</v>
      </c>
      <c r="B15" s="99" t="n">
        <v>170416.31</v>
      </c>
      <c r="C15" s="99" t="n">
        <v>264973.98</v>
      </c>
      <c r="D15" s="99" t="n">
        <v>148771.91</v>
      </c>
      <c r="E15" s="99" t="n">
        <v>251991.83</v>
      </c>
      <c r="F15" s="141" t="n">
        <f aca="false">SUM(B15:E15)</f>
        <v>836154.03</v>
      </c>
      <c r="G15" s="143" t="n">
        <f aca="false">F15/F16</f>
        <v>0.363988212001576</v>
      </c>
      <c r="H15" s="144" t="s">
        <v>666</v>
      </c>
      <c r="I15" s="144"/>
      <c r="J15" s="144"/>
      <c r="K15" s="144"/>
      <c r="L15" s="144"/>
      <c r="M15" s="144"/>
      <c r="N15" s="144"/>
    </row>
    <row r="16" customFormat="false" ht="21.75" hidden="false" customHeight="true" outlineLevel="0" collapsed="false">
      <c r="A16" s="94" t="s">
        <v>667</v>
      </c>
      <c r="B16" s="141" t="n">
        <f aca="false">SUM(B13:B15)</f>
        <v>501239.89</v>
      </c>
      <c r="C16" s="141" t="n">
        <f aca="false">SUM(C13:C15)</f>
        <v>678781.24</v>
      </c>
      <c r="D16" s="141" t="n">
        <f aca="false">SUM(D13:D15)</f>
        <v>391721.9</v>
      </c>
      <c r="E16" s="141" t="n">
        <f aca="false">SUM(E13:E15)</f>
        <v>725457.82</v>
      </c>
      <c r="F16" s="141" t="n">
        <f aca="false">SUM(F13:F15)</f>
        <v>2297200.85</v>
      </c>
      <c r="G16" s="146" t="s">
        <v>668</v>
      </c>
      <c r="H16" s="147"/>
      <c r="I16" s="147"/>
      <c r="J16" s="147"/>
      <c r="K16" s="147"/>
      <c r="L16" s="147"/>
      <c r="M16" s="147"/>
      <c r="N16" s="147"/>
    </row>
    <row r="17" customFormat="false" ht="7.5" hidden="false" customHeight="true" outlineLevel="0" collapsed="false">
      <c r="A17" s="124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</row>
    <row r="18" customFormat="false" ht="21.75" hidden="false" customHeight="true" outlineLevel="0" collapsed="false">
      <c r="A18" s="87" t="s">
        <v>669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</row>
    <row r="19" customFormat="false" ht="45" hidden="false" customHeight="true" outlineLevel="0" collapsed="false">
      <c r="A19" s="148" t="s">
        <v>670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</row>
    <row r="20" customFormat="false" ht="7.5" hidden="false" customHeight="true" outlineLevel="0" collapsed="false">
      <c r="A20" s="124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</row>
    <row r="21" customFormat="false" ht="21.75" hidden="false" customHeight="true" outlineLevel="0" collapsed="false">
      <c r="A21" s="93" t="s">
        <v>671</v>
      </c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</row>
    <row r="22" customFormat="false" ht="34.5" hidden="false" customHeight="true" outlineLevel="0" collapsed="false">
      <c r="A22" s="149" t="s">
        <v>672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</row>
    <row r="23" customFormat="false" ht="21.75" hidden="false" customHeight="true" outlineLevel="0" collapsed="false">
      <c r="A23" s="94" t="s">
        <v>124</v>
      </c>
      <c r="B23" s="94" t="s">
        <v>29</v>
      </c>
      <c r="C23" s="94" t="s">
        <v>126</v>
      </c>
      <c r="D23" s="94" t="s">
        <v>57</v>
      </c>
      <c r="E23" s="94" t="s">
        <v>3</v>
      </c>
      <c r="F23" s="94" t="s">
        <v>58</v>
      </c>
      <c r="G23" s="94" t="s">
        <v>359</v>
      </c>
      <c r="H23" s="94" t="s">
        <v>552</v>
      </c>
      <c r="I23" s="94"/>
      <c r="J23" s="94"/>
      <c r="K23" s="94"/>
      <c r="L23" s="94"/>
      <c r="M23" s="94"/>
      <c r="N23" s="94"/>
    </row>
    <row r="24" customFormat="false" ht="15" hidden="false" customHeight="true" outlineLevel="0" collapsed="false">
      <c r="A24" s="74" t="n">
        <v>1</v>
      </c>
      <c r="B24" s="73" t="s">
        <v>237</v>
      </c>
      <c r="C24" s="73" t="s">
        <v>361</v>
      </c>
      <c r="D24" s="73" t="s">
        <v>64</v>
      </c>
      <c r="E24" s="104" t="n">
        <v>261.96</v>
      </c>
      <c r="F24" s="104" t="n">
        <v>41.91</v>
      </c>
      <c r="G24" s="150" t="n">
        <v>2</v>
      </c>
      <c r="H24" s="73" t="s">
        <v>553</v>
      </c>
      <c r="I24" s="73"/>
      <c r="J24" s="73"/>
      <c r="K24" s="73"/>
      <c r="L24" s="73"/>
      <c r="M24" s="73"/>
      <c r="N24" s="73"/>
    </row>
    <row r="25" customFormat="false" ht="15" hidden="false" customHeight="true" outlineLevel="0" collapsed="false">
      <c r="A25" s="69" t="n">
        <v>2</v>
      </c>
      <c r="B25" s="68" t="s">
        <v>237</v>
      </c>
      <c r="C25" s="68" t="s">
        <v>362</v>
      </c>
      <c r="D25" s="68" t="s">
        <v>64</v>
      </c>
      <c r="E25" s="99" t="n">
        <v>731.94</v>
      </c>
      <c r="F25" s="99" t="n">
        <v>219.58</v>
      </c>
      <c r="G25" s="151" t="n">
        <v>3</v>
      </c>
      <c r="H25" s="68" t="s">
        <v>553</v>
      </c>
      <c r="I25" s="68"/>
      <c r="J25" s="68"/>
      <c r="K25" s="68"/>
      <c r="L25" s="68"/>
      <c r="M25" s="68"/>
      <c r="N25" s="68"/>
    </row>
    <row r="26" customFormat="false" ht="15" hidden="false" customHeight="true" outlineLevel="0" collapsed="false">
      <c r="A26" s="74" t="n">
        <v>3</v>
      </c>
      <c r="B26" s="73" t="s">
        <v>32</v>
      </c>
      <c r="C26" s="73" t="s">
        <v>365</v>
      </c>
      <c r="D26" s="73" t="s">
        <v>68</v>
      </c>
      <c r="E26" s="104" t="n">
        <v>14.62</v>
      </c>
      <c r="F26" s="104" t="n">
        <v>6.87</v>
      </c>
      <c r="G26" s="150" t="n">
        <v>2</v>
      </c>
      <c r="H26" s="73" t="s">
        <v>553</v>
      </c>
      <c r="I26" s="73"/>
      <c r="J26" s="73"/>
      <c r="K26" s="73"/>
      <c r="L26" s="73"/>
      <c r="M26" s="73"/>
      <c r="N26" s="73"/>
    </row>
    <row r="27" customFormat="false" ht="15" hidden="false" customHeight="true" outlineLevel="0" collapsed="false">
      <c r="A27" s="69" t="n">
        <v>4</v>
      </c>
      <c r="B27" s="68" t="s">
        <v>237</v>
      </c>
      <c r="C27" s="68" t="s">
        <v>366</v>
      </c>
      <c r="D27" s="68" t="s">
        <v>64</v>
      </c>
      <c r="E27" s="99" t="n">
        <v>957.58</v>
      </c>
      <c r="F27" s="99" t="n">
        <v>-383.03</v>
      </c>
      <c r="G27" s="151" t="n">
        <v>5</v>
      </c>
      <c r="H27" s="68" t="s">
        <v>554</v>
      </c>
      <c r="I27" s="68"/>
      <c r="J27" s="68"/>
      <c r="K27" s="68"/>
      <c r="L27" s="68"/>
      <c r="M27" s="68"/>
      <c r="N27" s="68"/>
    </row>
    <row r="28" customFormat="false" ht="15" hidden="false" customHeight="true" outlineLevel="0" collapsed="false">
      <c r="A28" s="74" t="n">
        <v>5</v>
      </c>
      <c r="B28" s="73" t="s">
        <v>32</v>
      </c>
      <c r="C28" s="73" t="s">
        <v>368</v>
      </c>
      <c r="D28" s="73" t="s">
        <v>64</v>
      </c>
      <c r="E28" s="104" t="n">
        <v>22.37</v>
      </c>
      <c r="F28" s="104" t="n">
        <v>2.52</v>
      </c>
      <c r="G28" s="150" t="n">
        <v>2</v>
      </c>
      <c r="H28" s="73" t="s">
        <v>554</v>
      </c>
      <c r="I28" s="73"/>
      <c r="J28" s="73"/>
      <c r="K28" s="73"/>
      <c r="L28" s="73"/>
      <c r="M28" s="73"/>
      <c r="N28" s="73"/>
    </row>
    <row r="29" customFormat="false" ht="15" hidden="false" customHeight="true" outlineLevel="0" collapsed="false">
      <c r="A29" s="69" t="n">
        <v>6</v>
      </c>
      <c r="B29" s="68" t="s">
        <v>237</v>
      </c>
      <c r="C29" s="68" t="s">
        <v>370</v>
      </c>
      <c r="D29" s="68" t="s">
        <v>68</v>
      </c>
      <c r="E29" s="99" t="n">
        <v>48.86</v>
      </c>
      <c r="F29" s="99" t="n">
        <v>14.17</v>
      </c>
      <c r="G29" s="151" t="n">
        <v>7</v>
      </c>
      <c r="H29" s="68" t="s">
        <v>554</v>
      </c>
      <c r="I29" s="68"/>
      <c r="J29" s="68"/>
      <c r="K29" s="68"/>
      <c r="L29" s="68"/>
      <c r="M29" s="68"/>
      <c r="N29" s="68"/>
    </row>
    <row r="30" customFormat="false" ht="15" hidden="false" customHeight="true" outlineLevel="0" collapsed="false">
      <c r="A30" s="74" t="n">
        <v>7</v>
      </c>
      <c r="B30" s="73" t="s">
        <v>32</v>
      </c>
      <c r="C30" s="73" t="s">
        <v>372</v>
      </c>
      <c r="D30" s="73" t="s">
        <v>68</v>
      </c>
      <c r="E30" s="104" t="n">
        <v>7.28</v>
      </c>
      <c r="F30" s="104" t="n">
        <v>1.97</v>
      </c>
      <c r="G30" s="150" t="n">
        <v>4</v>
      </c>
      <c r="H30" s="73" t="s">
        <v>554</v>
      </c>
      <c r="I30" s="73"/>
      <c r="J30" s="73"/>
      <c r="K30" s="73"/>
      <c r="L30" s="73"/>
      <c r="M30" s="73"/>
      <c r="N30" s="73"/>
    </row>
    <row r="31" customFormat="false" ht="15" hidden="false" customHeight="true" outlineLevel="0" collapsed="false">
      <c r="A31" s="69" t="n">
        <v>8</v>
      </c>
      <c r="B31" s="68" t="s">
        <v>37</v>
      </c>
      <c r="C31" s="68" t="s">
        <v>374</v>
      </c>
      <c r="D31" s="68" t="s">
        <v>68</v>
      </c>
      <c r="E31" s="99" t="n">
        <v>907.15</v>
      </c>
      <c r="F31" s="99" t="n">
        <v>90.72</v>
      </c>
      <c r="G31" s="151" t="n">
        <v>6</v>
      </c>
      <c r="H31" s="68" t="s">
        <v>554</v>
      </c>
      <c r="I31" s="68"/>
      <c r="J31" s="68"/>
      <c r="K31" s="68"/>
      <c r="L31" s="68"/>
      <c r="M31" s="68"/>
      <c r="N31" s="68"/>
    </row>
    <row r="32" customFormat="false" ht="15" hidden="false" customHeight="true" outlineLevel="0" collapsed="false">
      <c r="A32" s="74" t="n">
        <v>9</v>
      </c>
      <c r="B32" s="73" t="s">
        <v>32</v>
      </c>
      <c r="C32" s="73" t="s">
        <v>134</v>
      </c>
      <c r="D32" s="73" t="s">
        <v>68</v>
      </c>
      <c r="E32" s="104" t="n">
        <v>18.5</v>
      </c>
      <c r="F32" s="104" t="n">
        <v>5.78</v>
      </c>
      <c r="G32" s="150" t="n">
        <v>3</v>
      </c>
      <c r="H32" s="73" t="s">
        <v>554</v>
      </c>
      <c r="I32" s="73"/>
      <c r="J32" s="73"/>
      <c r="K32" s="73"/>
      <c r="L32" s="73"/>
      <c r="M32" s="73"/>
      <c r="N32" s="73"/>
    </row>
    <row r="33" customFormat="false" ht="15" hidden="false" customHeight="true" outlineLevel="0" collapsed="false">
      <c r="A33" s="69" t="n">
        <v>10</v>
      </c>
      <c r="B33" s="68" t="s">
        <v>32</v>
      </c>
      <c r="C33" s="68" t="s">
        <v>159</v>
      </c>
      <c r="D33" s="68" t="s">
        <v>68</v>
      </c>
      <c r="E33" s="99" t="n">
        <v>114.9</v>
      </c>
      <c r="F33" s="99" t="n">
        <v>34.47</v>
      </c>
      <c r="G33" s="151" t="n">
        <v>5</v>
      </c>
      <c r="H33" s="68" t="s">
        <v>554</v>
      </c>
      <c r="I33" s="68"/>
      <c r="J33" s="68"/>
      <c r="K33" s="68"/>
      <c r="L33" s="68"/>
      <c r="M33" s="68"/>
      <c r="N33" s="68"/>
    </row>
    <row r="34" customFormat="false" ht="15" hidden="false" customHeight="true" outlineLevel="0" collapsed="false">
      <c r="A34" s="74" t="n">
        <v>11</v>
      </c>
      <c r="B34" s="73" t="s">
        <v>237</v>
      </c>
      <c r="C34" s="73" t="s">
        <v>366</v>
      </c>
      <c r="D34" s="73" t="s">
        <v>68</v>
      </c>
      <c r="E34" s="104" t="n">
        <v>1706.18</v>
      </c>
      <c r="F34" s="104" t="n">
        <v>85.31</v>
      </c>
      <c r="G34" s="150" t="n">
        <v>9</v>
      </c>
      <c r="H34" s="73" t="s">
        <v>554</v>
      </c>
      <c r="I34" s="73"/>
      <c r="J34" s="73"/>
      <c r="K34" s="73"/>
      <c r="L34" s="73"/>
      <c r="M34" s="73"/>
      <c r="N34" s="73"/>
    </row>
    <row r="35" customFormat="false" ht="15" hidden="false" customHeight="true" outlineLevel="0" collapsed="false">
      <c r="A35" s="69" t="n">
        <v>12</v>
      </c>
      <c r="B35" s="68" t="s">
        <v>37</v>
      </c>
      <c r="C35" s="68" t="s">
        <v>374</v>
      </c>
      <c r="D35" s="68" t="s">
        <v>68</v>
      </c>
      <c r="E35" s="99" t="n">
        <v>911.42</v>
      </c>
      <c r="F35" s="99" t="n">
        <v>68.36</v>
      </c>
      <c r="G35" s="151" t="n">
        <v>4</v>
      </c>
      <c r="H35" s="68" t="s">
        <v>554</v>
      </c>
      <c r="I35" s="68"/>
      <c r="J35" s="68"/>
      <c r="K35" s="68"/>
      <c r="L35" s="68"/>
      <c r="M35" s="68"/>
      <c r="N35" s="68"/>
    </row>
    <row r="36" customFormat="false" ht="15" hidden="false" customHeight="true" outlineLevel="0" collapsed="false">
      <c r="A36" s="74" t="n">
        <v>13</v>
      </c>
      <c r="B36" s="73" t="s">
        <v>32</v>
      </c>
      <c r="C36" s="73" t="s">
        <v>149</v>
      </c>
      <c r="D36" s="73" t="s">
        <v>64</v>
      </c>
      <c r="E36" s="104" t="n">
        <v>15.55</v>
      </c>
      <c r="F36" s="104" t="n">
        <v>5.44</v>
      </c>
      <c r="G36" s="150" t="n">
        <v>3</v>
      </c>
      <c r="H36" s="73" t="s">
        <v>554</v>
      </c>
      <c r="I36" s="73"/>
      <c r="J36" s="73"/>
      <c r="K36" s="73"/>
      <c r="L36" s="73"/>
      <c r="M36" s="73"/>
      <c r="N36" s="73"/>
    </row>
    <row r="37" customFormat="false" ht="15" hidden="false" customHeight="true" outlineLevel="0" collapsed="false">
      <c r="A37" s="69" t="n">
        <v>14</v>
      </c>
      <c r="B37" s="68" t="s">
        <v>32</v>
      </c>
      <c r="C37" s="68" t="s">
        <v>134</v>
      </c>
      <c r="D37" s="68" t="s">
        <v>68</v>
      </c>
      <c r="E37" s="99" t="n">
        <v>407.98</v>
      </c>
      <c r="F37" s="99" t="n">
        <v>132.59</v>
      </c>
      <c r="G37" s="151" t="n">
        <v>3</v>
      </c>
      <c r="H37" s="68" t="s">
        <v>554</v>
      </c>
      <c r="I37" s="68"/>
      <c r="J37" s="68"/>
      <c r="K37" s="68"/>
      <c r="L37" s="68"/>
      <c r="M37" s="68"/>
      <c r="N37" s="68"/>
    </row>
    <row r="38" customFormat="false" ht="15" hidden="false" customHeight="true" outlineLevel="0" collapsed="false">
      <c r="A38" s="74" t="n">
        <v>15</v>
      </c>
      <c r="B38" s="73" t="s">
        <v>32</v>
      </c>
      <c r="C38" s="73" t="s">
        <v>159</v>
      </c>
      <c r="D38" s="73" t="s">
        <v>67</v>
      </c>
      <c r="E38" s="104" t="n">
        <v>68.81</v>
      </c>
      <c r="F38" s="104" t="n">
        <v>-123.86</v>
      </c>
      <c r="G38" s="150" t="n">
        <v>5</v>
      </c>
      <c r="H38" s="73" t="s">
        <v>554</v>
      </c>
      <c r="I38" s="73"/>
      <c r="J38" s="73"/>
      <c r="K38" s="73"/>
      <c r="L38" s="73"/>
      <c r="M38" s="73"/>
      <c r="N38" s="73"/>
    </row>
    <row r="39" customFormat="false" ht="15" hidden="false" customHeight="true" outlineLevel="0" collapsed="false">
      <c r="A39" s="69" t="n">
        <v>16</v>
      </c>
      <c r="B39" s="68" t="s">
        <v>32</v>
      </c>
      <c r="C39" s="68" t="s">
        <v>134</v>
      </c>
      <c r="D39" s="68" t="s">
        <v>67</v>
      </c>
      <c r="E39" s="99" t="n">
        <v>2.54</v>
      </c>
      <c r="F39" s="99" t="n">
        <v>-3.82</v>
      </c>
      <c r="G39" s="151" t="n">
        <v>3</v>
      </c>
      <c r="H39" s="68" t="s">
        <v>554</v>
      </c>
      <c r="I39" s="68"/>
      <c r="J39" s="68"/>
      <c r="K39" s="68"/>
      <c r="L39" s="68"/>
      <c r="M39" s="68"/>
      <c r="N39" s="68"/>
    </row>
    <row r="40" customFormat="false" ht="15" hidden="false" customHeight="true" outlineLevel="0" collapsed="false">
      <c r="A40" s="74" t="n">
        <v>17</v>
      </c>
      <c r="B40" s="73" t="s">
        <v>32</v>
      </c>
      <c r="C40" s="73" t="s">
        <v>368</v>
      </c>
      <c r="D40" s="73" t="s">
        <v>67</v>
      </c>
      <c r="E40" s="104" t="n">
        <v>665.88</v>
      </c>
      <c r="F40" s="104" t="n">
        <v>13.32</v>
      </c>
      <c r="G40" s="150" t="n">
        <v>6</v>
      </c>
      <c r="H40" s="73" t="s">
        <v>554</v>
      </c>
      <c r="I40" s="73"/>
      <c r="J40" s="73"/>
      <c r="K40" s="73"/>
      <c r="L40" s="73"/>
      <c r="M40" s="73"/>
      <c r="N40" s="73"/>
    </row>
    <row r="41" customFormat="false" ht="15" hidden="false" customHeight="true" outlineLevel="0" collapsed="false">
      <c r="A41" s="69" t="n">
        <v>18</v>
      </c>
      <c r="B41" s="68" t="s">
        <v>32</v>
      </c>
      <c r="C41" s="68" t="s">
        <v>368</v>
      </c>
      <c r="D41" s="68" t="s">
        <v>68</v>
      </c>
      <c r="E41" s="99" t="n">
        <v>55.5</v>
      </c>
      <c r="F41" s="99" t="n">
        <v>9.99</v>
      </c>
      <c r="G41" s="151" t="n">
        <v>2</v>
      </c>
      <c r="H41" s="68" t="s">
        <v>553</v>
      </c>
      <c r="I41" s="68"/>
      <c r="J41" s="68"/>
      <c r="K41" s="68"/>
      <c r="L41" s="68"/>
      <c r="M41" s="68"/>
      <c r="N41" s="68"/>
    </row>
    <row r="42" customFormat="false" ht="15" hidden="false" customHeight="true" outlineLevel="0" collapsed="false">
      <c r="A42" s="74" t="n">
        <v>19</v>
      </c>
      <c r="B42" s="73" t="s">
        <v>32</v>
      </c>
      <c r="C42" s="73" t="s">
        <v>372</v>
      </c>
      <c r="D42" s="73" t="s">
        <v>68</v>
      </c>
      <c r="E42" s="104" t="n">
        <v>8.56</v>
      </c>
      <c r="F42" s="104" t="n">
        <v>2.48</v>
      </c>
      <c r="G42" s="150" t="n">
        <v>2</v>
      </c>
      <c r="H42" s="73" t="s">
        <v>553</v>
      </c>
      <c r="I42" s="73"/>
      <c r="J42" s="73"/>
      <c r="K42" s="73"/>
      <c r="L42" s="73"/>
      <c r="M42" s="73"/>
      <c r="N42" s="73"/>
    </row>
    <row r="43" customFormat="false" ht="15" hidden="false" customHeight="true" outlineLevel="0" collapsed="false">
      <c r="A43" s="69" t="n">
        <v>20</v>
      </c>
      <c r="B43" s="68" t="s">
        <v>37</v>
      </c>
      <c r="C43" s="68" t="s">
        <v>374</v>
      </c>
      <c r="D43" s="68" t="s">
        <v>68</v>
      </c>
      <c r="E43" s="99" t="n">
        <v>213.48</v>
      </c>
      <c r="F43" s="99" t="n">
        <v>16.01</v>
      </c>
      <c r="G43" s="151" t="n">
        <v>3</v>
      </c>
      <c r="H43" s="68" t="s">
        <v>553</v>
      </c>
      <c r="I43" s="68"/>
      <c r="J43" s="68"/>
      <c r="K43" s="68"/>
      <c r="L43" s="68"/>
      <c r="M43" s="68"/>
      <c r="N43" s="68"/>
    </row>
    <row r="45" customFormat="false" ht="21.75" hidden="false" customHeight="true" outlineLevel="0" collapsed="false">
      <c r="A45" s="67" t="s">
        <v>673</v>
      </c>
      <c r="B45" s="67"/>
      <c r="C45" s="67" t="s">
        <v>674</v>
      </c>
      <c r="D45" s="67"/>
      <c r="E45" s="67"/>
      <c r="F45" s="67" t="s">
        <v>675</v>
      </c>
      <c r="G45" s="67" t="s">
        <v>676</v>
      </c>
      <c r="H45" s="67"/>
      <c r="I45" s="67"/>
      <c r="J45" s="67" t="s">
        <v>677</v>
      </c>
      <c r="K45" s="67" t="s">
        <v>678</v>
      </c>
      <c r="L45" s="67"/>
      <c r="M45" s="67"/>
      <c r="N45" s="67"/>
    </row>
    <row r="46" customFormat="false" ht="21.75" hidden="false" customHeight="true" outlineLevel="0" collapsed="false">
      <c r="A46" s="152" t="s">
        <v>679</v>
      </c>
      <c r="B46" s="152"/>
      <c r="C46" s="91" t="n">
        <f aca="false">SUBTOTAL(9,E24:E43)</f>
        <v>7141.06</v>
      </c>
      <c r="D46" s="91"/>
      <c r="E46" s="91"/>
      <c r="F46" s="91" t="n">
        <f aca="false">SUBTOTAL(9,E24:E43)</f>
        <v>7141.06</v>
      </c>
      <c r="G46" s="91" t="n">
        <f aca="false">SUBTOTAL(9,F24:F43)</f>
        <v>240.78</v>
      </c>
      <c r="H46" s="91"/>
      <c r="I46" s="91"/>
      <c r="J46" s="91" t="n">
        <f aca="false">SUBTOTAL(9,F24:F43)</f>
        <v>240.78</v>
      </c>
      <c r="K46" s="153" t="s">
        <v>680</v>
      </c>
      <c r="L46" s="153"/>
      <c r="M46" s="153"/>
      <c r="N46" s="153"/>
    </row>
    <row r="47" customFormat="false" ht="21.75" hidden="false" customHeight="true" outlineLevel="0" collapsed="false">
      <c r="A47" s="152" t="s">
        <v>681</v>
      </c>
      <c r="B47" s="152"/>
      <c r="C47" s="92" t="n">
        <f aca="false">SUBTOTAL(1,E24:E43)</f>
        <v>357.053</v>
      </c>
      <c r="D47" s="92"/>
      <c r="E47" s="92"/>
      <c r="F47" s="92" t="n">
        <f aca="false">SUBTOTAL(1,E24:E43)</f>
        <v>357.053</v>
      </c>
      <c r="G47" s="92" t="n">
        <f aca="false">SUBTOTAL(1,F24:F43)</f>
        <v>12.039</v>
      </c>
      <c r="H47" s="92"/>
      <c r="I47" s="92"/>
      <c r="J47" s="92" t="n">
        <f aca="false">SUBTOTAL(1,F24:F43)</f>
        <v>12.039</v>
      </c>
      <c r="K47" s="153" t="s">
        <v>682</v>
      </c>
      <c r="L47" s="153"/>
      <c r="M47" s="153"/>
      <c r="N47" s="153"/>
    </row>
    <row r="48" customFormat="false" ht="21.75" hidden="false" customHeight="true" outlineLevel="0" collapsed="false">
      <c r="A48" s="152" t="s">
        <v>683</v>
      </c>
      <c r="B48" s="152"/>
      <c r="C48" s="91" t="n">
        <f aca="false">SUBTOTAL(4,E24:E43)</f>
        <v>1706.18</v>
      </c>
      <c r="D48" s="91"/>
      <c r="E48" s="91"/>
      <c r="F48" s="91" t="n">
        <f aca="false">SUBTOTAL(4,E24:E43)</f>
        <v>1706.18</v>
      </c>
      <c r="G48" s="91" t="n">
        <f aca="false">SUBTOTAL(4,F24:F43)</f>
        <v>219.58</v>
      </c>
      <c r="H48" s="91"/>
      <c r="I48" s="91"/>
      <c r="J48" s="91" t="n">
        <f aca="false">SUBTOTAL(4,F24:F43)</f>
        <v>219.58</v>
      </c>
      <c r="K48" s="153" t="s">
        <v>684</v>
      </c>
      <c r="L48" s="153"/>
      <c r="M48" s="153"/>
      <c r="N48" s="153"/>
    </row>
    <row r="49" customFormat="false" ht="21.75" hidden="false" customHeight="true" outlineLevel="0" collapsed="false">
      <c r="A49" s="152" t="s">
        <v>685</v>
      </c>
      <c r="B49" s="152"/>
      <c r="C49" s="92" t="n">
        <f aca="false">SUBTOTAL(5,E24:E43)</f>
        <v>2.54</v>
      </c>
      <c r="D49" s="92"/>
      <c r="E49" s="92"/>
      <c r="F49" s="92" t="n">
        <f aca="false">SUBTOTAL(5,E24:E43)</f>
        <v>2.54</v>
      </c>
      <c r="G49" s="92" t="n">
        <f aca="false">SUBTOTAL(5,F24:F43)</f>
        <v>-383.03</v>
      </c>
      <c r="H49" s="92"/>
      <c r="I49" s="92"/>
      <c r="J49" s="92" t="n">
        <f aca="false">SUBTOTAL(5,F24:F43)</f>
        <v>-383.03</v>
      </c>
      <c r="K49" s="153" t="s">
        <v>686</v>
      </c>
      <c r="L49" s="153"/>
      <c r="M49" s="153"/>
      <c r="N49" s="153"/>
    </row>
    <row r="50" customFormat="false" ht="21.75" hidden="false" customHeight="true" outlineLevel="0" collapsed="false">
      <c r="A50" s="154" t="s">
        <v>687</v>
      </c>
      <c r="B50" s="154"/>
      <c r="C50" s="91" t="n">
        <f aca="false">SUM(E24:E43)</f>
        <v>7141.06</v>
      </c>
      <c r="D50" s="91"/>
      <c r="E50" s="91"/>
      <c r="F50" s="91" t="n">
        <f aca="false">SUM(E24:E43)</f>
        <v>7141.06</v>
      </c>
      <c r="G50" s="91" t="n">
        <f aca="false">SUM(F24:F43)</f>
        <v>240.78</v>
      </c>
      <c r="H50" s="91"/>
      <c r="I50" s="91"/>
      <c r="J50" s="91" t="n">
        <f aca="false">SUM(F24:F43)</f>
        <v>240.78</v>
      </c>
      <c r="K50" s="155" t="s">
        <v>688</v>
      </c>
      <c r="L50" s="155"/>
      <c r="M50" s="155"/>
      <c r="N50" s="155"/>
    </row>
    <row r="52" customFormat="false" ht="7.5" hidden="false" customHeight="true" outlineLevel="0" collapsed="false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</row>
    <row r="53" customFormat="false" ht="21.75" hidden="false" customHeight="true" outlineLevel="0" collapsed="false">
      <c r="A53" s="66" t="s">
        <v>689</v>
      </c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</row>
    <row r="54" customFormat="false" ht="30" hidden="false" customHeight="true" outlineLevel="0" collapsed="false">
      <c r="A54" s="142" t="s">
        <v>690</v>
      </c>
      <c r="B54" s="142" t="s">
        <v>691</v>
      </c>
      <c r="C54" s="142" t="s">
        <v>258</v>
      </c>
      <c r="D54" s="142" t="s">
        <v>692</v>
      </c>
      <c r="E54" s="142"/>
      <c r="F54" s="142"/>
      <c r="G54" s="142"/>
      <c r="H54" s="142" t="s">
        <v>693</v>
      </c>
      <c r="I54" s="142"/>
      <c r="J54" s="142"/>
      <c r="K54" s="142"/>
      <c r="L54" s="142"/>
      <c r="M54" s="142"/>
      <c r="N54" s="142"/>
    </row>
    <row r="55" customFormat="false" ht="19.5" hidden="false" customHeight="true" outlineLevel="0" collapsed="false">
      <c r="A55" s="96" t="n">
        <v>1</v>
      </c>
      <c r="B55" s="96" t="n">
        <v>101</v>
      </c>
      <c r="C55" s="69" t="s">
        <v>694</v>
      </c>
      <c r="D55" s="83" t="s">
        <v>695</v>
      </c>
      <c r="E55" s="83"/>
      <c r="F55" s="83"/>
      <c r="G55" s="83"/>
      <c r="H55" s="68" t="s">
        <v>696</v>
      </c>
      <c r="I55" s="68"/>
      <c r="J55" s="68"/>
      <c r="K55" s="68"/>
      <c r="L55" s="68"/>
      <c r="M55" s="68"/>
      <c r="N55" s="68"/>
    </row>
    <row r="56" customFormat="false" ht="19.5" hidden="false" customHeight="true" outlineLevel="0" collapsed="false">
      <c r="A56" s="95" t="n">
        <v>2</v>
      </c>
      <c r="B56" s="95" t="n">
        <v>102</v>
      </c>
      <c r="C56" s="74" t="s">
        <v>697</v>
      </c>
      <c r="D56" s="81" t="s">
        <v>698</v>
      </c>
      <c r="E56" s="81"/>
      <c r="F56" s="81"/>
      <c r="G56" s="81"/>
      <c r="H56" s="73" t="s">
        <v>699</v>
      </c>
      <c r="I56" s="73"/>
      <c r="J56" s="73"/>
      <c r="K56" s="73"/>
      <c r="L56" s="73"/>
      <c r="M56" s="73"/>
      <c r="N56" s="73"/>
    </row>
    <row r="57" customFormat="false" ht="19.5" hidden="false" customHeight="true" outlineLevel="0" collapsed="false">
      <c r="A57" s="96" t="n">
        <v>3</v>
      </c>
      <c r="B57" s="96" t="n">
        <v>103</v>
      </c>
      <c r="C57" s="69" t="s">
        <v>700</v>
      </c>
      <c r="D57" s="83" t="s">
        <v>701</v>
      </c>
      <c r="E57" s="83"/>
      <c r="F57" s="83"/>
      <c r="G57" s="83"/>
      <c r="H57" s="68" t="s">
        <v>702</v>
      </c>
      <c r="I57" s="68"/>
      <c r="J57" s="68"/>
      <c r="K57" s="68"/>
      <c r="L57" s="68"/>
      <c r="M57" s="68"/>
      <c r="N57" s="68"/>
    </row>
    <row r="58" customFormat="false" ht="19.5" hidden="false" customHeight="true" outlineLevel="0" collapsed="false">
      <c r="A58" s="95" t="n">
        <v>4</v>
      </c>
      <c r="B58" s="95" t="n">
        <v>104</v>
      </c>
      <c r="C58" s="74" t="s">
        <v>703</v>
      </c>
      <c r="D58" s="81" t="s">
        <v>704</v>
      </c>
      <c r="E58" s="81"/>
      <c r="F58" s="81"/>
      <c r="G58" s="81"/>
      <c r="H58" s="73" t="s">
        <v>705</v>
      </c>
      <c r="I58" s="73"/>
      <c r="J58" s="73"/>
      <c r="K58" s="73"/>
      <c r="L58" s="73"/>
      <c r="M58" s="73"/>
      <c r="N58" s="73"/>
    </row>
    <row r="59" customFormat="false" ht="19.5" hidden="false" customHeight="true" outlineLevel="0" collapsed="false">
      <c r="A59" s="96" t="n">
        <v>5</v>
      </c>
      <c r="B59" s="96" t="n">
        <v>105</v>
      </c>
      <c r="C59" s="69" t="s">
        <v>706</v>
      </c>
      <c r="D59" s="83" t="s">
        <v>707</v>
      </c>
      <c r="E59" s="83"/>
      <c r="F59" s="83"/>
      <c r="G59" s="83"/>
      <c r="H59" s="68" t="s">
        <v>708</v>
      </c>
      <c r="I59" s="68"/>
      <c r="J59" s="68"/>
      <c r="K59" s="68"/>
      <c r="L59" s="68"/>
      <c r="M59" s="68"/>
      <c r="N59" s="68"/>
    </row>
    <row r="60" customFormat="false" ht="19.5" hidden="false" customHeight="true" outlineLevel="0" collapsed="false">
      <c r="A60" s="95" t="n">
        <v>9</v>
      </c>
      <c r="B60" s="95" t="n">
        <v>109</v>
      </c>
      <c r="C60" s="74" t="s">
        <v>709</v>
      </c>
      <c r="D60" s="81" t="s">
        <v>710</v>
      </c>
      <c r="E60" s="81"/>
      <c r="F60" s="81"/>
      <c r="G60" s="81"/>
      <c r="H60" s="73" t="s">
        <v>711</v>
      </c>
      <c r="I60" s="73"/>
      <c r="J60" s="73"/>
      <c r="K60" s="73"/>
      <c r="L60" s="73"/>
      <c r="M60" s="73"/>
      <c r="N60" s="73"/>
    </row>
    <row r="61" customFormat="false" ht="19.5" hidden="false" customHeight="true" outlineLevel="0" collapsed="false">
      <c r="A61" s="96" t="n">
        <v>11</v>
      </c>
      <c r="B61" s="96" t="n">
        <v>111</v>
      </c>
      <c r="C61" s="69" t="s">
        <v>712</v>
      </c>
      <c r="D61" s="83" t="s">
        <v>713</v>
      </c>
      <c r="E61" s="83"/>
      <c r="F61" s="83"/>
      <c r="G61" s="83"/>
      <c r="H61" s="68" t="s">
        <v>714</v>
      </c>
      <c r="I61" s="68"/>
      <c r="J61" s="68"/>
      <c r="K61" s="68"/>
      <c r="L61" s="68"/>
      <c r="M61" s="68"/>
      <c r="N61" s="68"/>
    </row>
  </sheetData>
  <mergeCells count="52">
    <mergeCell ref="A1:N1"/>
    <mergeCell ref="A3:N3"/>
    <mergeCell ref="A11:N11"/>
    <mergeCell ref="H12:N12"/>
    <mergeCell ref="H13:N13"/>
    <mergeCell ref="H14:N14"/>
    <mergeCell ref="H15:N15"/>
    <mergeCell ref="A18:N18"/>
    <mergeCell ref="A19:N19"/>
    <mergeCell ref="A21:N21"/>
    <mergeCell ref="A22:N22"/>
    <mergeCell ref="A45:B45"/>
    <mergeCell ref="C45:E45"/>
    <mergeCell ref="G45:I45"/>
    <mergeCell ref="K45:N45"/>
    <mergeCell ref="A46:B46"/>
    <mergeCell ref="C46:E46"/>
    <mergeCell ref="G46:I46"/>
    <mergeCell ref="K46:N46"/>
    <mergeCell ref="A47:B47"/>
    <mergeCell ref="C47:E47"/>
    <mergeCell ref="G47:I47"/>
    <mergeCell ref="K47:N47"/>
    <mergeCell ref="A48:B48"/>
    <mergeCell ref="C48:E48"/>
    <mergeCell ref="G48:I48"/>
    <mergeCell ref="K48:N48"/>
    <mergeCell ref="A49:B49"/>
    <mergeCell ref="C49:E49"/>
    <mergeCell ref="G49:I49"/>
    <mergeCell ref="K49:N49"/>
    <mergeCell ref="A50:B50"/>
    <mergeCell ref="C50:E50"/>
    <mergeCell ref="G50:I50"/>
    <mergeCell ref="K50:N50"/>
    <mergeCell ref="A53:N53"/>
    <mergeCell ref="D54:G54"/>
    <mergeCell ref="H54:N54"/>
    <mergeCell ref="D55:G55"/>
    <mergeCell ref="H55:N55"/>
    <mergeCell ref="D56:G56"/>
    <mergeCell ref="H56:N56"/>
    <mergeCell ref="D57:G57"/>
    <mergeCell ref="H57:N57"/>
    <mergeCell ref="D58:G58"/>
    <mergeCell ref="H58:N58"/>
    <mergeCell ref="D59:G59"/>
    <mergeCell ref="H59:N59"/>
    <mergeCell ref="D60:G60"/>
    <mergeCell ref="H60:N60"/>
    <mergeCell ref="D61:G61"/>
    <mergeCell ref="H61:N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7" min="4" style="1" width="12"/>
    <col collapsed="false" customWidth="true" hidden="false" outlineLevel="0" max="8" min="8" style="1" width="24"/>
    <col collapsed="false" customWidth="true" hidden="false" outlineLevel="0" max="10" min="9" style="1" width="16"/>
  </cols>
  <sheetData>
    <row r="1" customFormat="false" ht="30" hidden="false" customHeight="true" outlineLevel="0" collapsed="false">
      <c r="A1" s="65" t="s">
        <v>715</v>
      </c>
      <c r="B1" s="65"/>
      <c r="C1" s="65"/>
      <c r="D1" s="65"/>
      <c r="E1" s="65"/>
      <c r="F1" s="65"/>
      <c r="G1" s="65"/>
      <c r="H1" s="65"/>
      <c r="I1" s="65"/>
      <c r="J1" s="65"/>
    </row>
    <row r="3" customFormat="false" ht="21.75" hidden="false" customHeight="true" outlineLevel="0" collapsed="false">
      <c r="A3" s="66" t="s">
        <v>716</v>
      </c>
      <c r="B3" s="66"/>
      <c r="C3" s="66"/>
      <c r="D3" s="66"/>
      <c r="E3" s="66"/>
      <c r="F3" s="66"/>
      <c r="G3" s="66"/>
      <c r="H3" s="66"/>
      <c r="I3" s="66"/>
      <c r="J3" s="66"/>
    </row>
    <row r="4" customFormat="false" ht="21.75" hidden="false" customHeight="true" outlineLevel="0" collapsed="false">
      <c r="A4" s="67" t="s">
        <v>717</v>
      </c>
      <c r="B4" s="67" t="s">
        <v>83</v>
      </c>
      <c r="C4" s="67"/>
      <c r="D4" s="67"/>
      <c r="E4" s="67"/>
      <c r="F4" s="67"/>
      <c r="G4" s="67"/>
      <c r="H4" s="67"/>
      <c r="I4" s="67"/>
      <c r="J4" s="67"/>
    </row>
    <row r="5" customFormat="false" ht="39.75" hidden="false" customHeight="true" outlineLevel="0" collapsed="false">
      <c r="A5" s="82" t="s">
        <v>718</v>
      </c>
      <c r="B5" s="68" t="s">
        <v>719</v>
      </c>
      <c r="C5" s="68"/>
      <c r="D5" s="68"/>
      <c r="E5" s="68"/>
      <c r="F5" s="68"/>
      <c r="G5" s="68"/>
      <c r="H5" s="68"/>
      <c r="I5" s="68"/>
      <c r="J5" s="68"/>
    </row>
    <row r="6" customFormat="false" ht="39.75" hidden="false" customHeight="true" outlineLevel="0" collapsed="false">
      <c r="A6" s="80" t="s">
        <v>720</v>
      </c>
      <c r="B6" s="73" t="s">
        <v>721</v>
      </c>
      <c r="C6" s="73"/>
      <c r="D6" s="73"/>
      <c r="E6" s="73"/>
      <c r="F6" s="73"/>
      <c r="G6" s="73"/>
      <c r="H6" s="73"/>
      <c r="I6" s="73"/>
      <c r="J6" s="73"/>
    </row>
    <row r="7" customFormat="false" ht="39.75" hidden="false" customHeight="true" outlineLevel="0" collapsed="false">
      <c r="A7" s="82" t="s">
        <v>722</v>
      </c>
      <c r="B7" s="68" t="s">
        <v>723</v>
      </c>
      <c r="C7" s="68"/>
      <c r="D7" s="68"/>
      <c r="E7" s="68"/>
      <c r="F7" s="68"/>
      <c r="G7" s="68"/>
      <c r="H7" s="68"/>
      <c r="I7" s="68"/>
      <c r="J7" s="68"/>
    </row>
    <row r="8" customFormat="false" ht="39.75" hidden="false" customHeight="true" outlineLevel="0" collapsed="false">
      <c r="A8" s="80" t="s">
        <v>724</v>
      </c>
      <c r="B8" s="73" t="s">
        <v>725</v>
      </c>
      <c r="C8" s="73"/>
      <c r="D8" s="73"/>
      <c r="E8" s="73"/>
      <c r="F8" s="73"/>
      <c r="G8" s="73"/>
      <c r="H8" s="73"/>
      <c r="I8" s="73"/>
      <c r="J8" s="73"/>
    </row>
    <row r="9" customFormat="false" ht="39.75" hidden="false" customHeight="true" outlineLevel="0" collapsed="false">
      <c r="A9" s="82" t="s">
        <v>726</v>
      </c>
      <c r="B9" s="68" t="s">
        <v>727</v>
      </c>
      <c r="C9" s="68"/>
      <c r="D9" s="68"/>
      <c r="E9" s="68"/>
      <c r="F9" s="68"/>
      <c r="G9" s="68"/>
      <c r="H9" s="68"/>
      <c r="I9" s="68"/>
      <c r="J9" s="68"/>
    </row>
    <row r="11" customFormat="false" ht="7.5" hidden="false" customHeight="true" outlineLevel="0" collapsed="false">
      <c r="A11" s="124"/>
      <c r="B11" s="124"/>
      <c r="C11" s="124"/>
      <c r="D11" s="124"/>
      <c r="E11" s="124"/>
      <c r="F11" s="124"/>
      <c r="G11" s="124"/>
      <c r="H11" s="124"/>
      <c r="I11" s="124"/>
      <c r="J11" s="124"/>
    </row>
    <row r="12" customFormat="false" ht="21.75" hidden="false" customHeight="true" outlineLevel="0" collapsed="false">
      <c r="A12" s="78" t="s">
        <v>728</v>
      </c>
      <c r="B12" s="78"/>
      <c r="C12" s="78"/>
      <c r="D12" s="78"/>
      <c r="E12" s="78"/>
      <c r="F12" s="78"/>
      <c r="G12" s="78"/>
      <c r="H12" s="78"/>
      <c r="I12" s="78"/>
      <c r="J12" s="78"/>
    </row>
    <row r="13" customFormat="false" ht="21.75" hidden="false" customHeight="true" outlineLevel="0" collapsed="false">
      <c r="A13" s="79" t="s">
        <v>729</v>
      </c>
      <c r="B13" s="79"/>
      <c r="C13" s="79"/>
      <c r="D13" s="79"/>
      <c r="E13" s="79"/>
      <c r="F13" s="79" t="s">
        <v>730</v>
      </c>
      <c r="G13" s="79"/>
      <c r="H13" s="79"/>
      <c r="I13" s="79"/>
      <c r="J13" s="79"/>
    </row>
    <row r="14" customFormat="false" ht="27.75" hidden="false" customHeight="true" outlineLevel="0" collapsed="false">
      <c r="A14" s="153" t="s">
        <v>731</v>
      </c>
      <c r="B14" s="153"/>
      <c r="C14" s="153"/>
      <c r="D14" s="153"/>
      <c r="E14" s="153"/>
      <c r="F14" s="155" t="s">
        <v>732</v>
      </c>
      <c r="G14" s="155"/>
      <c r="H14" s="155"/>
      <c r="I14" s="155"/>
      <c r="J14" s="155"/>
    </row>
    <row r="15" customFormat="false" ht="27.75" hidden="false" customHeight="true" outlineLevel="0" collapsed="false">
      <c r="A15" s="153" t="s">
        <v>733</v>
      </c>
      <c r="B15" s="153"/>
      <c r="C15" s="153"/>
      <c r="D15" s="153"/>
      <c r="E15" s="153"/>
      <c r="F15" s="155" t="s">
        <v>734</v>
      </c>
      <c r="G15" s="155"/>
      <c r="H15" s="155"/>
      <c r="I15" s="155"/>
      <c r="J15" s="155"/>
    </row>
    <row r="16" customFormat="false" ht="27.75" hidden="false" customHeight="true" outlineLevel="0" collapsed="false">
      <c r="A16" s="153" t="s">
        <v>735</v>
      </c>
      <c r="B16" s="153"/>
      <c r="C16" s="153"/>
      <c r="D16" s="153"/>
      <c r="E16" s="153"/>
      <c r="F16" s="155" t="s">
        <v>736</v>
      </c>
      <c r="G16" s="155"/>
      <c r="H16" s="155"/>
      <c r="I16" s="155"/>
      <c r="J16" s="155"/>
    </row>
    <row r="17" customFormat="false" ht="27.75" hidden="false" customHeight="true" outlineLevel="0" collapsed="false">
      <c r="A17" s="153" t="s">
        <v>737</v>
      </c>
      <c r="B17" s="153"/>
      <c r="C17" s="153"/>
      <c r="D17" s="153"/>
      <c r="E17" s="153"/>
      <c r="F17" s="155" t="s">
        <v>738</v>
      </c>
      <c r="G17" s="155"/>
      <c r="H17" s="155"/>
      <c r="I17" s="155"/>
      <c r="J17" s="155"/>
    </row>
    <row r="18" customFormat="false" ht="27.75" hidden="false" customHeight="true" outlineLevel="0" collapsed="false">
      <c r="A18" s="153" t="s">
        <v>739</v>
      </c>
      <c r="B18" s="153"/>
      <c r="C18" s="153"/>
      <c r="D18" s="153"/>
      <c r="E18" s="153"/>
      <c r="F18" s="155" t="s">
        <v>740</v>
      </c>
      <c r="G18" s="155"/>
      <c r="H18" s="155"/>
      <c r="I18" s="155"/>
      <c r="J18" s="155"/>
    </row>
    <row r="20" customFormat="false" ht="7.5" hidden="false" customHeight="true" outlineLevel="0" collapsed="false">
      <c r="A20" s="124"/>
      <c r="B20" s="124"/>
      <c r="C20" s="124"/>
      <c r="D20" s="124"/>
      <c r="E20" s="124"/>
      <c r="F20" s="124"/>
      <c r="G20" s="124"/>
      <c r="H20" s="124"/>
      <c r="I20" s="124"/>
      <c r="J20" s="124"/>
    </row>
    <row r="21" customFormat="false" ht="21.75" hidden="false" customHeight="true" outlineLevel="0" collapsed="false">
      <c r="A21" s="87" t="s">
        <v>741</v>
      </c>
      <c r="B21" s="87"/>
      <c r="C21" s="87"/>
      <c r="D21" s="87"/>
      <c r="E21" s="87"/>
      <c r="F21" s="87"/>
      <c r="G21" s="87"/>
      <c r="H21" s="87"/>
      <c r="I21" s="87"/>
      <c r="J21" s="87"/>
    </row>
    <row r="22" customFormat="false" ht="21.75" hidden="false" customHeight="true" outlineLevel="0" collapsed="false">
      <c r="A22" s="88" t="s">
        <v>742</v>
      </c>
      <c r="B22" s="88" t="s">
        <v>743</v>
      </c>
      <c r="C22" s="88"/>
      <c r="D22" s="88"/>
      <c r="E22" s="88"/>
      <c r="F22" s="88"/>
      <c r="G22" s="88"/>
      <c r="H22" s="88"/>
      <c r="I22" s="88"/>
      <c r="J22" s="88"/>
    </row>
    <row r="23" customFormat="false" ht="24" hidden="false" customHeight="true" outlineLevel="0" collapsed="false">
      <c r="A23" s="96" t="s">
        <v>744</v>
      </c>
      <c r="B23" s="68" t="s">
        <v>745</v>
      </c>
      <c r="C23" s="68"/>
      <c r="D23" s="68"/>
      <c r="E23" s="68"/>
      <c r="F23" s="68"/>
      <c r="G23" s="68"/>
      <c r="H23" s="68"/>
      <c r="I23" s="68"/>
      <c r="J23" s="68"/>
    </row>
    <row r="24" customFormat="false" ht="24" hidden="false" customHeight="true" outlineLevel="0" collapsed="false">
      <c r="A24" s="95" t="s">
        <v>746</v>
      </c>
      <c r="B24" s="73" t="s">
        <v>747</v>
      </c>
      <c r="C24" s="73"/>
      <c r="D24" s="73"/>
      <c r="E24" s="73"/>
      <c r="F24" s="73"/>
      <c r="G24" s="73"/>
      <c r="H24" s="73"/>
      <c r="I24" s="73"/>
      <c r="J24" s="73"/>
    </row>
    <row r="25" customFormat="false" ht="24" hidden="false" customHeight="true" outlineLevel="0" collapsed="false">
      <c r="A25" s="96" t="s">
        <v>748</v>
      </c>
      <c r="B25" s="68" t="s">
        <v>749</v>
      </c>
      <c r="C25" s="68"/>
      <c r="D25" s="68"/>
      <c r="E25" s="68"/>
      <c r="F25" s="68"/>
      <c r="G25" s="68"/>
      <c r="H25" s="68"/>
      <c r="I25" s="68"/>
      <c r="J25" s="68"/>
    </row>
    <row r="26" customFormat="false" ht="24" hidden="false" customHeight="true" outlineLevel="0" collapsed="false">
      <c r="A26" s="95" t="s">
        <v>750</v>
      </c>
      <c r="B26" s="73" t="s">
        <v>751</v>
      </c>
      <c r="C26" s="73"/>
      <c r="D26" s="73"/>
      <c r="E26" s="73"/>
      <c r="F26" s="73"/>
      <c r="G26" s="73"/>
      <c r="H26" s="73"/>
      <c r="I26" s="73"/>
      <c r="J26" s="73"/>
    </row>
    <row r="27" customFormat="false" ht="24" hidden="false" customHeight="true" outlineLevel="0" collapsed="false">
      <c r="A27" s="96" t="s">
        <v>752</v>
      </c>
      <c r="B27" s="68" t="s">
        <v>753</v>
      </c>
      <c r="C27" s="68"/>
      <c r="D27" s="68"/>
      <c r="E27" s="68"/>
      <c r="F27" s="68"/>
      <c r="G27" s="68"/>
      <c r="H27" s="68"/>
      <c r="I27" s="68"/>
      <c r="J27" s="68"/>
    </row>
    <row r="28" customFormat="false" ht="24" hidden="false" customHeight="true" outlineLevel="0" collapsed="false">
      <c r="A28" s="95" t="s">
        <v>754</v>
      </c>
      <c r="B28" s="73" t="s">
        <v>755</v>
      </c>
      <c r="C28" s="73"/>
      <c r="D28" s="73"/>
      <c r="E28" s="73"/>
      <c r="F28" s="73"/>
      <c r="G28" s="73"/>
      <c r="H28" s="73"/>
      <c r="I28" s="73"/>
      <c r="J28" s="73"/>
    </row>
    <row r="29" customFormat="false" ht="24" hidden="false" customHeight="true" outlineLevel="0" collapsed="false">
      <c r="A29" s="96" t="s">
        <v>756</v>
      </c>
      <c r="B29" s="68" t="s">
        <v>757</v>
      </c>
      <c r="C29" s="68"/>
      <c r="D29" s="68"/>
      <c r="E29" s="68"/>
      <c r="F29" s="68"/>
      <c r="G29" s="68"/>
      <c r="H29" s="68"/>
      <c r="I29" s="68"/>
      <c r="J29" s="68"/>
    </row>
    <row r="30" customFormat="false" ht="24" hidden="false" customHeight="true" outlineLevel="0" collapsed="false">
      <c r="A30" s="95" t="s">
        <v>758</v>
      </c>
      <c r="B30" s="73" t="s">
        <v>759</v>
      </c>
      <c r="C30" s="73"/>
      <c r="D30" s="73"/>
      <c r="E30" s="73"/>
      <c r="F30" s="73"/>
      <c r="G30" s="73"/>
      <c r="H30" s="73"/>
      <c r="I30" s="73"/>
      <c r="J30" s="73"/>
    </row>
    <row r="31" customFormat="false" ht="24" hidden="false" customHeight="true" outlineLevel="0" collapsed="false">
      <c r="A31" s="96" t="s">
        <v>760</v>
      </c>
      <c r="B31" s="68" t="s">
        <v>761</v>
      </c>
      <c r="C31" s="68"/>
      <c r="D31" s="68"/>
      <c r="E31" s="68"/>
      <c r="F31" s="68"/>
      <c r="G31" s="68"/>
      <c r="H31" s="68"/>
      <c r="I31" s="68"/>
      <c r="J31" s="68"/>
    </row>
    <row r="32" customFormat="false" ht="24" hidden="false" customHeight="true" outlineLevel="0" collapsed="false">
      <c r="A32" s="95" t="s">
        <v>762</v>
      </c>
      <c r="B32" s="73" t="s">
        <v>763</v>
      </c>
      <c r="C32" s="73"/>
      <c r="D32" s="73"/>
      <c r="E32" s="73"/>
      <c r="F32" s="73"/>
      <c r="G32" s="73"/>
      <c r="H32" s="73"/>
      <c r="I32" s="73"/>
      <c r="J32" s="73"/>
    </row>
    <row r="34" customFormat="false" ht="7.5" hidden="false" customHeight="true" outlineLevel="0" collapsed="false">
      <c r="A34" s="124"/>
      <c r="B34" s="124"/>
      <c r="C34" s="124"/>
      <c r="D34" s="124"/>
      <c r="E34" s="124"/>
      <c r="F34" s="124"/>
      <c r="G34" s="124"/>
      <c r="H34" s="124"/>
      <c r="I34" s="124"/>
      <c r="J34" s="124"/>
    </row>
    <row r="35" customFormat="false" ht="21.75" hidden="false" customHeight="true" outlineLevel="0" collapsed="false">
      <c r="A35" s="93" t="s">
        <v>764</v>
      </c>
      <c r="B35" s="93"/>
      <c r="C35" s="93"/>
      <c r="D35" s="93"/>
      <c r="E35" s="93"/>
      <c r="F35" s="93"/>
      <c r="G35" s="93"/>
      <c r="H35" s="93"/>
      <c r="I35" s="93"/>
      <c r="J35" s="93"/>
    </row>
    <row r="36" customFormat="false" ht="21.75" hidden="false" customHeight="true" outlineLevel="0" collapsed="false">
      <c r="A36" s="94" t="s">
        <v>765</v>
      </c>
      <c r="B36" s="94" t="s">
        <v>766</v>
      </c>
      <c r="C36" s="94"/>
      <c r="D36" s="94"/>
      <c r="E36" s="94"/>
      <c r="F36" s="94"/>
      <c r="G36" s="94"/>
      <c r="H36" s="94"/>
      <c r="I36" s="94"/>
      <c r="J36" s="94"/>
    </row>
    <row r="37" customFormat="false" ht="64.5" hidden="false" customHeight="true" outlineLevel="0" collapsed="false">
      <c r="A37" s="96" t="s">
        <v>767</v>
      </c>
      <c r="B37" s="68" t="s">
        <v>768</v>
      </c>
      <c r="C37" s="68"/>
      <c r="D37" s="68"/>
      <c r="E37" s="68"/>
      <c r="F37" s="68"/>
      <c r="G37" s="68"/>
      <c r="H37" s="68"/>
      <c r="I37" s="68"/>
      <c r="J37" s="68"/>
    </row>
    <row r="38" customFormat="false" ht="64.5" hidden="false" customHeight="true" outlineLevel="0" collapsed="false">
      <c r="A38" s="95" t="s">
        <v>769</v>
      </c>
      <c r="B38" s="73" t="s">
        <v>770</v>
      </c>
      <c r="C38" s="73"/>
      <c r="D38" s="73"/>
      <c r="E38" s="73"/>
      <c r="F38" s="73"/>
      <c r="G38" s="73"/>
      <c r="H38" s="73"/>
      <c r="I38" s="73"/>
      <c r="J38" s="73"/>
    </row>
    <row r="39" customFormat="false" ht="64.5" hidden="false" customHeight="true" outlineLevel="0" collapsed="false">
      <c r="A39" s="96" t="s">
        <v>771</v>
      </c>
      <c r="B39" s="68" t="s">
        <v>772</v>
      </c>
      <c r="C39" s="68"/>
      <c r="D39" s="68"/>
      <c r="E39" s="68"/>
      <c r="F39" s="68"/>
      <c r="G39" s="68"/>
      <c r="H39" s="68"/>
      <c r="I39" s="68"/>
      <c r="J39" s="68"/>
    </row>
    <row r="40" customFormat="false" ht="64.5" hidden="false" customHeight="true" outlineLevel="0" collapsed="false">
      <c r="A40" s="95" t="s">
        <v>773</v>
      </c>
      <c r="B40" s="73" t="s">
        <v>774</v>
      </c>
      <c r="C40" s="73"/>
      <c r="D40" s="73"/>
      <c r="E40" s="73"/>
      <c r="F40" s="73"/>
      <c r="G40" s="73"/>
      <c r="H40" s="73"/>
      <c r="I40" s="73"/>
      <c r="J40" s="73"/>
    </row>
    <row r="41" customFormat="false" ht="64.5" hidden="false" customHeight="true" outlineLevel="0" collapsed="false">
      <c r="A41" s="96" t="s">
        <v>775</v>
      </c>
      <c r="B41" s="68" t="s">
        <v>776</v>
      </c>
      <c r="C41" s="68"/>
      <c r="D41" s="68"/>
      <c r="E41" s="68"/>
      <c r="F41" s="68"/>
      <c r="G41" s="68"/>
      <c r="H41" s="68"/>
      <c r="I41" s="68"/>
      <c r="J41" s="68"/>
    </row>
    <row r="43" customFormat="false" ht="7.5" hidden="false" customHeight="true" outlineLevel="0" collapsed="false">
      <c r="A43" s="124"/>
      <c r="B43" s="124"/>
      <c r="C43" s="124"/>
      <c r="D43" s="124"/>
      <c r="E43" s="124"/>
      <c r="F43" s="124"/>
      <c r="G43" s="124"/>
      <c r="H43" s="124"/>
      <c r="I43" s="124"/>
      <c r="J43" s="124"/>
    </row>
    <row r="44" customFormat="false" ht="21.75" hidden="false" customHeight="true" outlineLevel="0" collapsed="false">
      <c r="A44" s="119" t="s">
        <v>777</v>
      </c>
      <c r="B44" s="119"/>
      <c r="C44" s="119"/>
      <c r="D44" s="119"/>
      <c r="E44" s="119"/>
      <c r="F44" s="119"/>
      <c r="G44" s="119"/>
      <c r="H44" s="119"/>
      <c r="I44" s="119"/>
      <c r="J44" s="119"/>
    </row>
    <row r="45" customFormat="false" ht="21.75" hidden="false" customHeight="true" outlineLevel="0" collapsed="false">
      <c r="A45" s="67" t="s">
        <v>778</v>
      </c>
      <c r="B45" s="67" t="s">
        <v>779</v>
      </c>
      <c r="C45" s="67"/>
      <c r="D45" s="67"/>
      <c r="E45" s="67"/>
      <c r="F45" s="67"/>
      <c r="G45" s="67"/>
      <c r="H45" s="67" t="s">
        <v>780</v>
      </c>
      <c r="I45" s="67"/>
      <c r="J45" s="67"/>
    </row>
    <row r="46" customFormat="false" ht="75" hidden="false" customHeight="true" outlineLevel="0" collapsed="false">
      <c r="A46" s="80" t="s">
        <v>781</v>
      </c>
      <c r="B46" s="156" t="s">
        <v>782</v>
      </c>
      <c r="C46" s="156"/>
      <c r="D46" s="156"/>
      <c r="E46" s="156"/>
      <c r="F46" s="156"/>
      <c r="G46" s="156"/>
      <c r="H46" s="73" t="s">
        <v>783</v>
      </c>
      <c r="I46" s="73"/>
      <c r="J46" s="73"/>
    </row>
    <row r="47" customFormat="false" ht="75" hidden="false" customHeight="true" outlineLevel="0" collapsed="false">
      <c r="A47" s="82" t="s">
        <v>784</v>
      </c>
      <c r="B47" s="156" t="s">
        <v>785</v>
      </c>
      <c r="C47" s="156"/>
      <c r="D47" s="156"/>
      <c r="E47" s="156"/>
      <c r="F47" s="156"/>
      <c r="G47" s="156"/>
      <c r="H47" s="68" t="s">
        <v>786</v>
      </c>
      <c r="I47" s="68"/>
      <c r="J47" s="68"/>
    </row>
    <row r="48" customFormat="false" ht="75" hidden="false" customHeight="true" outlineLevel="0" collapsed="false">
      <c r="A48" s="80" t="s">
        <v>787</v>
      </c>
      <c r="B48" s="156" t="s">
        <v>788</v>
      </c>
      <c r="C48" s="156"/>
      <c r="D48" s="156"/>
      <c r="E48" s="156"/>
      <c r="F48" s="156"/>
      <c r="G48" s="156"/>
      <c r="H48" s="73" t="s">
        <v>789</v>
      </c>
      <c r="I48" s="73"/>
      <c r="J48" s="73"/>
    </row>
    <row r="49" customFormat="false" ht="75" hidden="false" customHeight="true" outlineLevel="0" collapsed="false">
      <c r="A49" s="82" t="s">
        <v>790</v>
      </c>
      <c r="B49" s="156" t="s">
        <v>791</v>
      </c>
      <c r="C49" s="156"/>
      <c r="D49" s="156"/>
      <c r="E49" s="156"/>
      <c r="F49" s="156"/>
      <c r="G49" s="156"/>
      <c r="H49" s="68" t="s">
        <v>792</v>
      </c>
      <c r="I49" s="68"/>
      <c r="J49" s="68"/>
    </row>
    <row r="50" customFormat="false" ht="75" hidden="false" customHeight="true" outlineLevel="0" collapsed="false">
      <c r="A50" s="80" t="s">
        <v>793</v>
      </c>
      <c r="B50" s="156" t="s">
        <v>794</v>
      </c>
      <c r="C50" s="156"/>
      <c r="D50" s="156"/>
      <c r="E50" s="156"/>
      <c r="F50" s="156"/>
      <c r="G50" s="156"/>
      <c r="H50" s="73" t="s">
        <v>795</v>
      </c>
      <c r="I50" s="73"/>
      <c r="J50" s="73"/>
    </row>
    <row r="51" customFormat="false" ht="75" hidden="false" customHeight="true" outlineLevel="0" collapsed="false">
      <c r="A51" s="82" t="s">
        <v>796</v>
      </c>
      <c r="B51" s="156" t="s">
        <v>797</v>
      </c>
      <c r="C51" s="156"/>
      <c r="D51" s="156"/>
      <c r="E51" s="156"/>
      <c r="F51" s="156"/>
      <c r="G51" s="156"/>
      <c r="H51" s="68" t="s">
        <v>798</v>
      </c>
      <c r="I51" s="68"/>
      <c r="J51" s="68"/>
    </row>
    <row r="52" customFormat="false" ht="75" hidden="false" customHeight="true" outlineLevel="0" collapsed="false">
      <c r="A52" s="80" t="s">
        <v>799</v>
      </c>
      <c r="B52" s="156" t="s">
        <v>800</v>
      </c>
      <c r="C52" s="156"/>
      <c r="D52" s="156"/>
      <c r="E52" s="156"/>
      <c r="F52" s="156"/>
      <c r="G52" s="156"/>
      <c r="H52" s="73" t="s">
        <v>801</v>
      </c>
      <c r="I52" s="73"/>
      <c r="J52" s="73"/>
    </row>
    <row r="54" customFormat="false" ht="7.5" hidden="false" customHeight="true" outlineLevel="0" collapsed="false">
      <c r="A54" s="124"/>
      <c r="B54" s="124"/>
      <c r="C54" s="124"/>
      <c r="D54" s="124"/>
      <c r="E54" s="124"/>
      <c r="F54" s="124"/>
      <c r="G54" s="124"/>
      <c r="H54" s="124"/>
      <c r="I54" s="124"/>
      <c r="J54" s="124"/>
    </row>
    <row r="55" customFormat="false" ht="21.75" hidden="false" customHeight="true" outlineLevel="0" collapsed="false">
      <c r="A55" s="157" t="s">
        <v>802</v>
      </c>
      <c r="B55" s="157"/>
      <c r="C55" s="157"/>
      <c r="D55" s="157"/>
      <c r="E55" s="157"/>
      <c r="F55" s="157"/>
      <c r="G55" s="157"/>
      <c r="H55" s="157"/>
      <c r="I55" s="157"/>
      <c r="J55" s="157"/>
    </row>
    <row r="56" customFormat="false" ht="21.75" hidden="false" customHeight="true" outlineLevel="0" collapsed="false">
      <c r="A56" s="158" t="s">
        <v>803</v>
      </c>
      <c r="B56" s="158" t="s">
        <v>804</v>
      </c>
      <c r="C56" s="158"/>
      <c r="D56" s="158"/>
      <c r="E56" s="158"/>
      <c r="F56" s="158"/>
      <c r="G56" s="158"/>
      <c r="H56" s="158"/>
      <c r="I56" s="158"/>
      <c r="J56" s="158"/>
    </row>
    <row r="57" customFormat="false" ht="45" hidden="false" customHeight="true" outlineLevel="0" collapsed="false">
      <c r="A57" s="159" t="s">
        <v>805</v>
      </c>
      <c r="B57" s="68" t="s">
        <v>806</v>
      </c>
      <c r="C57" s="68"/>
      <c r="D57" s="68"/>
      <c r="E57" s="68"/>
      <c r="F57" s="68"/>
      <c r="G57" s="68"/>
      <c r="H57" s="68"/>
      <c r="I57" s="68"/>
      <c r="J57" s="68"/>
    </row>
    <row r="58" customFormat="false" ht="45" hidden="false" customHeight="true" outlineLevel="0" collapsed="false">
      <c r="A58" s="160" t="s">
        <v>807</v>
      </c>
      <c r="B58" s="73" t="s">
        <v>808</v>
      </c>
      <c r="C58" s="73"/>
      <c r="D58" s="73"/>
      <c r="E58" s="73"/>
      <c r="F58" s="73"/>
      <c r="G58" s="73"/>
      <c r="H58" s="73"/>
      <c r="I58" s="73"/>
      <c r="J58" s="73"/>
    </row>
    <row r="59" customFormat="false" ht="45" hidden="false" customHeight="true" outlineLevel="0" collapsed="false">
      <c r="A59" s="159" t="s">
        <v>809</v>
      </c>
      <c r="B59" s="68" t="s">
        <v>810</v>
      </c>
      <c r="C59" s="68"/>
      <c r="D59" s="68"/>
      <c r="E59" s="68"/>
      <c r="F59" s="68"/>
      <c r="G59" s="68"/>
      <c r="H59" s="68"/>
      <c r="I59" s="68"/>
      <c r="J59" s="68"/>
    </row>
    <row r="60" customFormat="false" ht="45" hidden="false" customHeight="true" outlineLevel="0" collapsed="false">
      <c r="A60" s="160" t="s">
        <v>811</v>
      </c>
      <c r="B60" s="73" t="s">
        <v>812</v>
      </c>
      <c r="C60" s="73"/>
      <c r="D60" s="73"/>
      <c r="E60" s="73"/>
      <c r="F60" s="73"/>
      <c r="G60" s="73"/>
      <c r="H60" s="73"/>
      <c r="I60" s="73"/>
      <c r="J60" s="73"/>
    </row>
    <row r="61" customFormat="false" ht="45" hidden="false" customHeight="true" outlineLevel="0" collapsed="false">
      <c r="A61" s="159" t="s">
        <v>813</v>
      </c>
      <c r="B61" s="68" t="s">
        <v>814</v>
      </c>
      <c r="C61" s="68"/>
      <c r="D61" s="68"/>
      <c r="E61" s="68"/>
      <c r="F61" s="68"/>
      <c r="G61" s="68"/>
      <c r="H61" s="68"/>
      <c r="I61" s="68"/>
      <c r="J61" s="68"/>
    </row>
    <row r="62" customFormat="false" ht="45" hidden="false" customHeight="true" outlineLevel="0" collapsed="false">
      <c r="A62" s="160" t="s">
        <v>815</v>
      </c>
      <c r="B62" s="73" t="s">
        <v>816</v>
      </c>
      <c r="C62" s="73"/>
      <c r="D62" s="73"/>
      <c r="E62" s="73"/>
      <c r="F62" s="73"/>
      <c r="G62" s="73"/>
      <c r="H62" s="73"/>
      <c r="I62" s="73"/>
      <c r="J62" s="73"/>
    </row>
  </sheetData>
  <mergeCells count="65">
    <mergeCell ref="A1:J1"/>
    <mergeCell ref="A3:J3"/>
    <mergeCell ref="B4:J4"/>
    <mergeCell ref="B5:J5"/>
    <mergeCell ref="B6:J6"/>
    <mergeCell ref="B7:J7"/>
    <mergeCell ref="B8:J8"/>
    <mergeCell ref="B9:J9"/>
    <mergeCell ref="A12:J12"/>
    <mergeCell ref="A13:E13"/>
    <mergeCell ref="F13:J13"/>
    <mergeCell ref="A14:E14"/>
    <mergeCell ref="F14:J14"/>
    <mergeCell ref="A15:E15"/>
    <mergeCell ref="F15:J15"/>
    <mergeCell ref="A16:E16"/>
    <mergeCell ref="F16:J16"/>
    <mergeCell ref="A17:E17"/>
    <mergeCell ref="F17:J17"/>
    <mergeCell ref="A18:E18"/>
    <mergeCell ref="F18:J18"/>
    <mergeCell ref="A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A35:J35"/>
    <mergeCell ref="B36:J36"/>
    <mergeCell ref="B37:J37"/>
    <mergeCell ref="B38:J38"/>
    <mergeCell ref="B39:J39"/>
    <mergeCell ref="B40:J40"/>
    <mergeCell ref="B41:J41"/>
    <mergeCell ref="A44:J44"/>
    <mergeCell ref="B45:G45"/>
    <mergeCell ref="H45:J45"/>
    <mergeCell ref="B46:G46"/>
    <mergeCell ref="H46:J46"/>
    <mergeCell ref="B47:G47"/>
    <mergeCell ref="H47:J47"/>
    <mergeCell ref="B48:G48"/>
    <mergeCell ref="H48:J48"/>
    <mergeCell ref="B49:G49"/>
    <mergeCell ref="H49:J49"/>
    <mergeCell ref="B50:G50"/>
    <mergeCell ref="H50:J50"/>
    <mergeCell ref="B51:G51"/>
    <mergeCell ref="H51:J51"/>
    <mergeCell ref="B52:G52"/>
    <mergeCell ref="H52:J52"/>
    <mergeCell ref="A55:J55"/>
    <mergeCell ref="B56:J56"/>
    <mergeCell ref="B57:J57"/>
    <mergeCell ref="B58:J58"/>
    <mergeCell ref="B59:J59"/>
    <mergeCell ref="B60:J60"/>
    <mergeCell ref="B61:J61"/>
    <mergeCell ref="B62:J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2026-05-14T10:49:47Z</dcterms:created>
  <dc:creator>openpyxl</dc:creator>
  <dc:description/>
  <dc:language>en-US</dc:language>
  <cp:lastModifiedBy/>
  <dcterms:modified xsi:type="dcterms:W3CDTF">2026-05-17T15:51:47Z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